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eakfast" sheetId="1" r:id="rId5"/>
    <sheet state="visible" name="Morning Snack" sheetId="2" r:id="rId6"/>
    <sheet state="visible" name="Lunch" sheetId="3" r:id="rId7"/>
    <sheet state="visible" name="Afternoon Snack" sheetId="4" r:id="rId8"/>
    <sheet state="visible" name="Dinner" sheetId="5" r:id="rId9"/>
    <sheet state="visible" name="Evening Snack" sheetId="6" r:id="rId10"/>
    <sheet state="visible" name="Food Chart" sheetId="7" r:id="rId11"/>
    <sheet state="visible" name="Food Search Index" sheetId="8" r:id="rId12"/>
  </sheets>
  <definedNames/>
  <calcPr/>
</workbook>
</file>

<file path=xl/sharedStrings.xml><?xml version="1.0" encoding="utf-8"?>
<sst xmlns="http://schemas.openxmlformats.org/spreadsheetml/2006/main" count="5134" uniqueCount="647">
  <si>
    <t>Food:</t>
  </si>
  <si>
    <r>
      <rPr>
        <rFont val="Arial"/>
        <color theme="1"/>
      </rPr>
      <t>Insulin to Carb Ratio (</t>
    </r>
    <r>
      <rPr>
        <rFont val="Arial"/>
        <b/>
        <color theme="1"/>
      </rPr>
      <t>ICR</t>
    </r>
    <r>
      <rPr>
        <rFont val="Arial"/>
        <color theme="1"/>
      </rPr>
      <t>)</t>
    </r>
  </si>
  <si>
    <t>Post Meal BG Tracking</t>
  </si>
  <si>
    <t>Meal Builder</t>
  </si>
  <si>
    <t>Carb factor:</t>
  </si>
  <si>
    <r>
      <rPr>
        <rFont val="Arial"/>
        <color theme="1"/>
      </rPr>
      <t>Target BG (</t>
    </r>
    <r>
      <rPr>
        <rFont val="Arial"/>
        <b/>
        <color theme="1"/>
      </rPr>
      <t>mmol/L</t>
    </r>
    <r>
      <rPr>
        <rFont val="Arial"/>
        <color theme="1"/>
      </rPr>
      <t>)</t>
    </r>
  </si>
  <si>
    <t>Absorption rate:</t>
  </si>
  <si>
    <r>
      <rPr>
        <rFont val="Arial"/>
        <color theme="1"/>
      </rPr>
      <t>Correction Factor (</t>
    </r>
    <r>
      <rPr>
        <rFont val="Arial"/>
        <b/>
        <color theme="1"/>
      </rPr>
      <t>ISF</t>
    </r>
    <r>
      <rPr>
        <rFont val="Arial"/>
        <color theme="1"/>
      </rPr>
      <t>)</t>
    </r>
  </si>
  <si>
    <t>Time</t>
  </si>
  <si>
    <t>Minutes Since Bolus</t>
  </si>
  <si>
    <t>BG</t>
  </si>
  <si>
    <t>Trend</t>
  </si>
  <si>
    <t>Delta</t>
  </si>
  <si>
    <t>Food</t>
  </si>
  <si>
    <t>Carb Factor</t>
  </si>
  <si>
    <t>Absorption Rate</t>
  </si>
  <si>
    <t>Weight Given</t>
  </si>
  <si>
    <t>Net Carbs</t>
  </si>
  <si>
    <t>Totle Net Carbs</t>
  </si>
  <si>
    <t>Weight given:</t>
  </si>
  <si>
    <t>Total Weight</t>
  </si>
  <si>
    <t>Total net carbs:</t>
  </si>
  <si>
    <r>
      <rPr>
        <rFont val="Arial"/>
        <color theme="1"/>
      </rPr>
      <t>Current BG (</t>
    </r>
    <r>
      <rPr>
        <rFont val="Arial"/>
        <b/>
        <color theme="1"/>
      </rPr>
      <t>mmol/L</t>
    </r>
    <r>
      <rPr>
        <rFont val="Arial"/>
        <color theme="1"/>
      </rPr>
      <t>)</t>
    </r>
  </si>
  <si>
    <t>Total Carb Factor</t>
  </si>
  <si>
    <r>
      <rPr>
        <rFont val="Arial"/>
        <color theme="1"/>
      </rPr>
      <t>Total Net Carbs (</t>
    </r>
    <r>
      <rPr>
        <rFont val="Arial"/>
        <b/>
        <color theme="1"/>
      </rPr>
      <t>g</t>
    </r>
    <r>
      <rPr>
        <rFont val="Arial"/>
        <color theme="1"/>
      </rPr>
      <t>)</t>
    </r>
  </si>
  <si>
    <t>Calc. Absorption</t>
  </si>
  <si>
    <r>
      <rPr>
        <rFont val="Arial"/>
        <color theme="1"/>
      </rPr>
      <t>Calculated Absorption Rate (</t>
    </r>
    <r>
      <rPr>
        <rFont val="Arial"/>
        <b/>
        <color theme="1"/>
      </rPr>
      <t>hours</t>
    </r>
    <r>
      <rPr>
        <rFont val="Arial"/>
        <color theme="1"/>
      </rPr>
      <t>)</t>
    </r>
  </si>
  <si>
    <r>
      <rPr>
        <rFont val="Arial"/>
        <color theme="1"/>
      </rPr>
      <t>Insulin On Board (</t>
    </r>
    <r>
      <rPr>
        <rFont val="Arial"/>
        <b/>
        <color theme="1"/>
      </rPr>
      <t>IOB</t>
    </r>
    <r>
      <rPr>
        <rFont val="Arial"/>
        <color theme="1"/>
      </rPr>
      <t>)</t>
    </r>
  </si>
  <si>
    <t>Total Carbs</t>
  </si>
  <si>
    <r>
      <rPr>
        <rFont val="Arial"/>
        <color theme="1"/>
      </rPr>
      <t>Carbs On Board (</t>
    </r>
    <r>
      <rPr>
        <rFont val="Arial"/>
        <b/>
        <color theme="1"/>
      </rPr>
      <t>COB</t>
    </r>
    <r>
      <rPr>
        <rFont val="Arial"/>
        <color theme="1"/>
      </rPr>
      <t>)</t>
    </r>
  </si>
  <si>
    <t>Total Bolus</t>
  </si>
  <si>
    <t>.</t>
  </si>
  <si>
    <t>Desired start time</t>
  </si>
  <si>
    <t xml:space="preserve"> </t>
  </si>
  <si>
    <t>Breakfast start</t>
  </si>
  <si>
    <t>Time between</t>
  </si>
  <si>
    <t>- Notes -</t>
  </si>
  <si>
    <r>
      <rPr>
        <rFont val="Arial"/>
        <color theme="1"/>
      </rPr>
      <t>Insulin to Carb Ratio (</t>
    </r>
    <r>
      <rPr>
        <rFont val="Arial"/>
        <b/>
        <color theme="1"/>
      </rPr>
      <t>ICR</t>
    </r>
    <r>
      <rPr>
        <rFont val="Arial"/>
        <color theme="1"/>
      </rPr>
      <t>)</t>
    </r>
  </si>
  <si>
    <r>
      <rPr>
        <rFont val="Arial"/>
        <color theme="1"/>
      </rPr>
      <t>Target BG (</t>
    </r>
    <r>
      <rPr>
        <rFont val="Arial"/>
        <b/>
        <color theme="1"/>
      </rPr>
      <t>mmol/L</t>
    </r>
    <r>
      <rPr>
        <rFont val="Arial"/>
        <color theme="1"/>
      </rPr>
      <t>)</t>
    </r>
  </si>
  <si>
    <r>
      <rPr>
        <rFont val="Arial"/>
        <color theme="1"/>
      </rPr>
      <t>Correction Factor (</t>
    </r>
    <r>
      <rPr>
        <rFont val="Arial"/>
        <b/>
        <color theme="1"/>
      </rPr>
      <t>ISF</t>
    </r>
    <r>
      <rPr>
        <rFont val="Arial"/>
        <color theme="1"/>
      </rPr>
      <t>)</t>
    </r>
  </si>
  <si>
    <r>
      <rPr>
        <rFont val="Arial"/>
        <color theme="1"/>
      </rPr>
      <t>Current BG (</t>
    </r>
    <r>
      <rPr>
        <rFont val="Arial"/>
        <b/>
        <color theme="1"/>
      </rPr>
      <t>mmol/L</t>
    </r>
    <r>
      <rPr>
        <rFont val="Arial"/>
        <color theme="1"/>
      </rPr>
      <t>)</t>
    </r>
  </si>
  <si>
    <t>now</t>
  </si>
  <si>
    <r>
      <rPr>
        <rFont val="Arial"/>
        <color theme="1"/>
      </rPr>
      <t>Total Net Carbs (</t>
    </r>
    <r>
      <rPr>
        <rFont val="Arial"/>
        <b/>
        <color theme="1"/>
      </rPr>
      <t>g</t>
    </r>
    <r>
      <rPr>
        <rFont val="Arial"/>
        <color theme="1"/>
      </rPr>
      <t>)</t>
    </r>
  </si>
  <si>
    <r>
      <rPr>
        <rFont val="Arial"/>
        <color theme="1"/>
      </rPr>
      <t>Calculated Absorption Rate (</t>
    </r>
    <r>
      <rPr>
        <rFont val="Arial"/>
        <b/>
        <color theme="1"/>
      </rPr>
      <t>hours</t>
    </r>
    <r>
      <rPr>
        <rFont val="Arial"/>
        <color theme="1"/>
      </rPr>
      <t>)</t>
    </r>
  </si>
  <si>
    <r>
      <rPr>
        <rFont val="Arial"/>
        <color theme="1"/>
      </rPr>
      <t>Insulin On Board (</t>
    </r>
    <r>
      <rPr>
        <rFont val="Arial"/>
        <b/>
        <color theme="1"/>
      </rPr>
      <t>IOB</t>
    </r>
    <r>
      <rPr>
        <rFont val="Arial"/>
        <color theme="1"/>
      </rPr>
      <t>)</t>
    </r>
  </si>
  <si>
    <r>
      <rPr>
        <rFont val="Arial"/>
        <color theme="1"/>
      </rPr>
      <t>Carbs On Board (</t>
    </r>
    <r>
      <rPr>
        <rFont val="Arial"/>
        <b/>
        <color theme="1"/>
      </rPr>
      <t>COB</t>
    </r>
    <r>
      <rPr>
        <rFont val="Arial"/>
        <color theme="1"/>
      </rPr>
      <t>)</t>
    </r>
  </si>
  <si>
    <t>Morning snack start</t>
  </si>
  <si>
    <r>
      <rPr>
        <rFont val="Arial"/>
        <color theme="1"/>
      </rPr>
      <t>Insulin to Carb Ratio (</t>
    </r>
    <r>
      <rPr>
        <rFont val="Arial"/>
        <b/>
        <color theme="1"/>
      </rPr>
      <t>ICR</t>
    </r>
    <r>
      <rPr>
        <rFont val="Arial"/>
        <color theme="1"/>
      </rPr>
      <t>)</t>
    </r>
  </si>
  <si>
    <r>
      <rPr>
        <rFont val="Arial"/>
        <color theme="1"/>
      </rPr>
      <t>Target BG (</t>
    </r>
    <r>
      <rPr>
        <rFont val="Arial"/>
        <b/>
        <color theme="1"/>
      </rPr>
      <t>mmol/L</t>
    </r>
    <r>
      <rPr>
        <rFont val="Arial"/>
        <color theme="1"/>
      </rPr>
      <t>)</t>
    </r>
  </si>
  <si>
    <r>
      <rPr>
        <rFont val="Arial"/>
        <color theme="1"/>
      </rPr>
      <t>Correction Factor (</t>
    </r>
    <r>
      <rPr>
        <rFont val="Arial"/>
        <b/>
        <color theme="1"/>
      </rPr>
      <t>ISF</t>
    </r>
    <r>
      <rPr>
        <rFont val="Arial"/>
        <color theme="1"/>
      </rPr>
      <t>)</t>
    </r>
  </si>
  <si>
    <r>
      <rPr>
        <rFont val="Arial"/>
        <color theme="1"/>
      </rPr>
      <t>Current BG (</t>
    </r>
    <r>
      <rPr>
        <rFont val="Arial"/>
        <b/>
        <color theme="1"/>
      </rPr>
      <t>mmol/L</t>
    </r>
    <r>
      <rPr>
        <rFont val="Arial"/>
        <color theme="1"/>
      </rPr>
      <t>)</t>
    </r>
  </si>
  <si>
    <r>
      <rPr>
        <rFont val="Arial"/>
        <color theme="1"/>
      </rPr>
      <t>Total Net Carbs (</t>
    </r>
    <r>
      <rPr>
        <rFont val="Arial"/>
        <b/>
        <color theme="1"/>
      </rPr>
      <t>g</t>
    </r>
    <r>
      <rPr>
        <rFont val="Arial"/>
        <color theme="1"/>
      </rPr>
      <t>)</t>
    </r>
  </si>
  <si>
    <r>
      <rPr>
        <rFont val="Arial"/>
        <color theme="1"/>
      </rPr>
      <t>Calculated Absorption Rate (</t>
    </r>
    <r>
      <rPr>
        <rFont val="Arial"/>
        <b/>
        <color theme="1"/>
      </rPr>
      <t>hours</t>
    </r>
    <r>
      <rPr>
        <rFont val="Arial"/>
        <color theme="1"/>
      </rPr>
      <t>)</t>
    </r>
  </si>
  <si>
    <r>
      <rPr>
        <rFont val="Arial"/>
        <color theme="1"/>
      </rPr>
      <t>Insulin On Board (</t>
    </r>
    <r>
      <rPr>
        <rFont val="Arial"/>
        <b/>
        <color theme="1"/>
      </rPr>
      <t>IOB</t>
    </r>
    <r>
      <rPr>
        <rFont val="Arial"/>
        <color theme="1"/>
      </rPr>
      <t>)</t>
    </r>
  </si>
  <si>
    <r>
      <rPr>
        <rFont val="Arial"/>
        <color theme="1"/>
      </rPr>
      <t>Carbs On Board (</t>
    </r>
    <r>
      <rPr>
        <rFont val="Arial"/>
        <b/>
        <color theme="1"/>
      </rPr>
      <t>COB</t>
    </r>
    <r>
      <rPr>
        <rFont val="Arial"/>
        <color theme="1"/>
      </rPr>
      <t>)</t>
    </r>
  </si>
  <si>
    <t>Lunch start</t>
  </si>
  <si>
    <r>
      <rPr>
        <rFont val="Arial"/>
        <color theme="1"/>
      </rPr>
      <t>Insulin to Carb Ratio (</t>
    </r>
    <r>
      <rPr>
        <rFont val="Arial"/>
        <b/>
        <color theme="1"/>
      </rPr>
      <t>ICR</t>
    </r>
    <r>
      <rPr>
        <rFont val="Arial"/>
        <color theme="1"/>
      </rPr>
      <t>)</t>
    </r>
  </si>
  <si>
    <r>
      <rPr>
        <rFont val="Arial"/>
        <color theme="1"/>
      </rPr>
      <t>Target BG (</t>
    </r>
    <r>
      <rPr>
        <rFont val="Arial"/>
        <b/>
        <color theme="1"/>
      </rPr>
      <t>mmol/L</t>
    </r>
    <r>
      <rPr>
        <rFont val="Arial"/>
        <color theme="1"/>
      </rPr>
      <t>)</t>
    </r>
  </si>
  <si>
    <r>
      <rPr>
        <rFont val="Arial"/>
        <color theme="1"/>
      </rPr>
      <t>Correction Factor (</t>
    </r>
    <r>
      <rPr>
        <rFont val="Arial"/>
        <b/>
        <color theme="1"/>
      </rPr>
      <t>ISF</t>
    </r>
    <r>
      <rPr>
        <rFont val="Arial"/>
        <color theme="1"/>
      </rPr>
      <t>)</t>
    </r>
  </si>
  <si>
    <r>
      <rPr>
        <rFont val="Arial"/>
        <color theme="1"/>
      </rPr>
      <t>Current BG (</t>
    </r>
    <r>
      <rPr>
        <rFont val="Arial"/>
        <b/>
        <color theme="1"/>
      </rPr>
      <t>mmol/L</t>
    </r>
    <r>
      <rPr>
        <rFont val="Arial"/>
        <color theme="1"/>
      </rPr>
      <t>)</t>
    </r>
  </si>
  <si>
    <r>
      <rPr>
        <rFont val="Arial"/>
        <color theme="1"/>
      </rPr>
      <t>Total Net Carbs (</t>
    </r>
    <r>
      <rPr>
        <rFont val="Arial"/>
        <b/>
        <color theme="1"/>
      </rPr>
      <t>g</t>
    </r>
    <r>
      <rPr>
        <rFont val="Arial"/>
        <color theme="1"/>
      </rPr>
      <t>)</t>
    </r>
  </si>
  <si>
    <r>
      <rPr>
        <rFont val="Arial"/>
        <color theme="1"/>
      </rPr>
      <t>Calculated Absorption Rate (</t>
    </r>
    <r>
      <rPr>
        <rFont val="Arial"/>
        <b/>
        <color theme="1"/>
      </rPr>
      <t>hours</t>
    </r>
    <r>
      <rPr>
        <rFont val="Arial"/>
        <color theme="1"/>
      </rPr>
      <t>)</t>
    </r>
  </si>
  <si>
    <r>
      <rPr>
        <rFont val="Arial"/>
        <color theme="1"/>
      </rPr>
      <t>Insulin On Board (</t>
    </r>
    <r>
      <rPr>
        <rFont val="Arial"/>
        <b/>
        <color theme="1"/>
      </rPr>
      <t>IOB</t>
    </r>
    <r>
      <rPr>
        <rFont val="Arial"/>
        <color theme="1"/>
      </rPr>
      <t>)</t>
    </r>
  </si>
  <si>
    <r>
      <rPr>
        <rFont val="Arial"/>
        <color theme="1"/>
      </rPr>
      <t>Carbs On Board (</t>
    </r>
    <r>
      <rPr>
        <rFont val="Arial"/>
        <b/>
        <color theme="1"/>
      </rPr>
      <t>COB</t>
    </r>
    <r>
      <rPr>
        <rFont val="Arial"/>
        <color theme="1"/>
      </rPr>
      <t>)</t>
    </r>
  </si>
  <si>
    <t>Afternoon snack start</t>
  </si>
  <si>
    <r>
      <rPr>
        <rFont val="Arial"/>
        <color theme="1"/>
      </rPr>
      <t>Insulin to Carb Ratio (</t>
    </r>
    <r>
      <rPr>
        <rFont val="Arial"/>
        <b/>
        <color theme="1"/>
      </rPr>
      <t>ICR</t>
    </r>
    <r>
      <rPr>
        <rFont val="Arial"/>
        <color theme="1"/>
      </rPr>
      <t>)</t>
    </r>
  </si>
  <si>
    <r>
      <rPr>
        <rFont val="Arial"/>
        <color theme="1"/>
      </rPr>
      <t>Target BG (</t>
    </r>
    <r>
      <rPr>
        <rFont val="Arial"/>
        <b/>
        <color theme="1"/>
      </rPr>
      <t>mmol/L</t>
    </r>
    <r>
      <rPr>
        <rFont val="Arial"/>
        <color theme="1"/>
      </rPr>
      <t>)</t>
    </r>
  </si>
  <si>
    <r>
      <rPr>
        <rFont val="Arial"/>
        <color theme="1"/>
      </rPr>
      <t>Correction Factor (</t>
    </r>
    <r>
      <rPr>
        <rFont val="Arial"/>
        <b/>
        <color theme="1"/>
      </rPr>
      <t>ISF</t>
    </r>
    <r>
      <rPr>
        <rFont val="Arial"/>
        <color theme="1"/>
      </rPr>
      <t>)</t>
    </r>
  </si>
  <si>
    <r>
      <rPr>
        <rFont val="Arial"/>
        <color theme="1"/>
      </rPr>
      <t>Current BG (</t>
    </r>
    <r>
      <rPr>
        <rFont val="Arial"/>
        <b/>
        <color theme="1"/>
      </rPr>
      <t>mmol/L</t>
    </r>
    <r>
      <rPr>
        <rFont val="Arial"/>
        <color theme="1"/>
      </rPr>
      <t>)</t>
    </r>
  </si>
  <si>
    <r>
      <rPr>
        <rFont val="Arial"/>
        <color theme="1"/>
      </rPr>
      <t>Total Net Carbs (</t>
    </r>
    <r>
      <rPr>
        <rFont val="Arial"/>
        <b/>
        <color theme="1"/>
      </rPr>
      <t>g</t>
    </r>
    <r>
      <rPr>
        <rFont val="Arial"/>
        <color theme="1"/>
      </rPr>
      <t>)</t>
    </r>
  </si>
  <si>
    <r>
      <rPr>
        <rFont val="Arial"/>
        <color theme="1"/>
      </rPr>
      <t>Calculated Absorption Rate (</t>
    </r>
    <r>
      <rPr>
        <rFont val="Arial"/>
        <b/>
        <color theme="1"/>
      </rPr>
      <t>hours</t>
    </r>
    <r>
      <rPr>
        <rFont val="Arial"/>
        <color theme="1"/>
      </rPr>
      <t>)</t>
    </r>
  </si>
  <si>
    <r>
      <rPr>
        <rFont val="Arial"/>
        <color theme="1"/>
      </rPr>
      <t>Insulin On Board (</t>
    </r>
    <r>
      <rPr>
        <rFont val="Arial"/>
        <b/>
        <color theme="1"/>
      </rPr>
      <t>IOB</t>
    </r>
    <r>
      <rPr>
        <rFont val="Arial"/>
        <color theme="1"/>
      </rPr>
      <t>)</t>
    </r>
  </si>
  <si>
    <r>
      <rPr>
        <rFont val="Arial"/>
        <color theme="1"/>
      </rPr>
      <t>Carbs On Board (</t>
    </r>
    <r>
      <rPr>
        <rFont val="Arial"/>
        <b/>
        <color theme="1"/>
      </rPr>
      <t>COB</t>
    </r>
    <r>
      <rPr>
        <rFont val="Arial"/>
        <color theme="1"/>
      </rPr>
      <t>)</t>
    </r>
  </si>
  <si>
    <t>Dinner start</t>
  </si>
  <si>
    <r>
      <rPr>
        <rFont val="Arial"/>
        <color theme="1"/>
      </rPr>
      <t>Insulin to Carb Ratio (</t>
    </r>
    <r>
      <rPr>
        <rFont val="Arial"/>
        <b/>
        <color theme="1"/>
      </rPr>
      <t>ICR</t>
    </r>
    <r>
      <rPr>
        <rFont val="Arial"/>
        <color theme="1"/>
      </rPr>
      <t>)</t>
    </r>
  </si>
  <si>
    <r>
      <rPr>
        <rFont val="Arial"/>
        <color theme="1"/>
      </rPr>
      <t>Target BG (</t>
    </r>
    <r>
      <rPr>
        <rFont val="Arial"/>
        <b/>
        <color theme="1"/>
      </rPr>
      <t>mmol/L</t>
    </r>
    <r>
      <rPr>
        <rFont val="Arial"/>
        <color theme="1"/>
      </rPr>
      <t>)</t>
    </r>
  </si>
  <si>
    <r>
      <rPr>
        <rFont val="Arial"/>
        <color theme="1"/>
      </rPr>
      <t>Correction Factor (</t>
    </r>
    <r>
      <rPr>
        <rFont val="Arial"/>
        <b/>
        <color theme="1"/>
      </rPr>
      <t>ISF</t>
    </r>
    <r>
      <rPr>
        <rFont val="Arial"/>
        <color theme="1"/>
      </rPr>
      <t>)</t>
    </r>
  </si>
  <si>
    <r>
      <rPr>
        <rFont val="Arial"/>
        <color theme="1"/>
      </rPr>
      <t>Current BG (</t>
    </r>
    <r>
      <rPr>
        <rFont val="Arial"/>
        <b/>
        <color theme="1"/>
      </rPr>
      <t>mmol/L</t>
    </r>
    <r>
      <rPr>
        <rFont val="Arial"/>
        <color theme="1"/>
      </rPr>
      <t>)</t>
    </r>
  </si>
  <si>
    <r>
      <rPr>
        <rFont val="Arial"/>
        <color theme="1"/>
      </rPr>
      <t>Total Net Carbs (</t>
    </r>
    <r>
      <rPr>
        <rFont val="Arial"/>
        <b/>
        <color theme="1"/>
      </rPr>
      <t>g</t>
    </r>
    <r>
      <rPr>
        <rFont val="Arial"/>
        <color theme="1"/>
      </rPr>
      <t>)</t>
    </r>
  </si>
  <si>
    <r>
      <rPr>
        <rFont val="Arial"/>
        <color theme="1"/>
      </rPr>
      <t>Calculated Absorption Rate (</t>
    </r>
    <r>
      <rPr>
        <rFont val="Arial"/>
        <b/>
        <color theme="1"/>
      </rPr>
      <t>hours</t>
    </r>
    <r>
      <rPr>
        <rFont val="Arial"/>
        <color theme="1"/>
      </rPr>
      <t>)</t>
    </r>
  </si>
  <si>
    <r>
      <rPr>
        <rFont val="Arial"/>
        <color theme="1"/>
      </rPr>
      <t>Insulin On Board (</t>
    </r>
    <r>
      <rPr>
        <rFont val="Arial"/>
        <b/>
        <color theme="1"/>
      </rPr>
      <t>IOB</t>
    </r>
    <r>
      <rPr>
        <rFont val="Arial"/>
        <color theme="1"/>
      </rPr>
      <t>)</t>
    </r>
  </si>
  <si>
    <r>
      <rPr>
        <rFont val="Arial"/>
        <color theme="1"/>
      </rPr>
      <t>Carbs On Board (</t>
    </r>
    <r>
      <rPr>
        <rFont val="Arial"/>
        <b/>
        <color theme="1"/>
      </rPr>
      <t>COB</t>
    </r>
    <r>
      <rPr>
        <rFont val="Arial"/>
        <color theme="1"/>
      </rPr>
      <t>)</t>
    </r>
  </si>
  <si>
    <t>Evening snack start</t>
  </si>
  <si>
    <t>Absorption Rate (hours)</t>
  </si>
  <si>
    <t>Advent Calendar Chocolate</t>
  </si>
  <si>
    <t>All Purpose Flour</t>
  </si>
  <si>
    <t>Almond Flour</t>
  </si>
  <si>
    <t>Annie's Mac &amp; Cheese</t>
  </si>
  <si>
    <t>Annie's Mac &amp; Cheese - Shells</t>
  </si>
  <si>
    <t>Apple</t>
  </si>
  <si>
    <t>Avafina Plant Based Cream Cheese</t>
  </si>
  <si>
    <t>Avocado</t>
  </si>
  <si>
    <t>Baby Corn (per corn)</t>
  </si>
  <si>
    <t>Baked Potato (with skin)</t>
  </si>
  <si>
    <t>Baked Potato (without skin)</t>
  </si>
  <si>
    <t>Baking Powder</t>
  </si>
  <si>
    <t>Baking Soda</t>
  </si>
  <si>
    <t>Balsamic Vinaigrette Salad Dressing</t>
  </si>
  <si>
    <t>Banana</t>
  </si>
  <si>
    <t>Banana (with peel)</t>
  </si>
  <si>
    <t>Baril Potato Balls (per ball)</t>
  </si>
  <si>
    <t>Barilla Bowtie Noodles (Cooked)</t>
  </si>
  <si>
    <t>Basmati Rice (cooked)</t>
  </si>
  <si>
    <t>Bear Paw - Strawberry (per Bear Paw)</t>
  </si>
  <si>
    <t>Bell Pepper</t>
  </si>
  <si>
    <t>Belsoy Chocolate Pudding Cup (per cup)</t>
  </si>
  <si>
    <t>Benny &amp; Co. Veggie Fingers (per strip)</t>
  </si>
  <si>
    <t>Better Than Bacon Spice</t>
  </si>
  <si>
    <t>Beyond Burger (Per Patty)</t>
  </si>
  <si>
    <t>Black Beans (drained)</t>
  </si>
  <si>
    <t>Blackberries</t>
  </si>
  <si>
    <t>Blueberries</t>
  </si>
  <si>
    <t>Bon Matin Keto Tortilla (Per Tortilla)</t>
  </si>
  <si>
    <t>Bovril - Vegetable</t>
  </si>
  <si>
    <t>Breton Bites Pizza Crackers</t>
  </si>
  <si>
    <t>Broccoli</t>
  </si>
  <si>
    <t>Brother Sprout Soysage Scoff</t>
  </si>
  <si>
    <t>Brown Sugar</t>
  </si>
  <si>
    <t>Bull's Eye Original BBQ Sauce</t>
  </si>
  <si>
    <t>Cabbage</t>
  </si>
  <si>
    <t>Cake</t>
  </si>
  <si>
    <t>Canned Chickpeas (drained)</t>
  </si>
  <si>
    <t>Canned Peaches (drained)</t>
  </si>
  <si>
    <t>Canned Potatoes (medium cooked)</t>
  </si>
  <si>
    <t>Canned Potatoes (uncooked)</t>
  </si>
  <si>
    <t>Cantaloupe</t>
  </si>
  <si>
    <t>Carbonaut White Bread (Per Slice)</t>
  </si>
  <si>
    <t>Carrots (cooked)</t>
  </si>
  <si>
    <t>Carrots (raw)</t>
  </si>
  <si>
    <t>Cashews</t>
  </si>
  <si>
    <t>Catelli Bow Noodles (cooked)</t>
  </si>
  <si>
    <t>Catelli Whole Grain Penne (cooked)</t>
  </si>
  <si>
    <t>Cauliflower</t>
  </si>
  <si>
    <t>Cavendish Flavour Crisp Fries</t>
  </si>
  <si>
    <t>Cheerioes</t>
  </si>
  <si>
    <t>Cherries</t>
  </si>
  <si>
    <t>Chia Seeds</t>
  </si>
  <si>
    <t>Chives</t>
  </si>
  <si>
    <t>Chocolate puffs cereal</t>
  </si>
  <si>
    <t>Cinnamon</t>
  </si>
  <si>
    <t>Cinnamon Toast Crunch (cereal)</t>
  </si>
  <si>
    <t>Coco Whip (usually give 25g)</t>
  </si>
  <si>
    <t>Coconut Milk</t>
  </si>
  <si>
    <t>Compliments Burger Bun (Per Bun)</t>
  </si>
  <si>
    <t>Compliments Hotdog Bun (Per Bun)</t>
  </si>
  <si>
    <t>Compliments Semi-Sweet Chocolate Chips (per chip)</t>
  </si>
  <si>
    <t>Compliments Semi-Sweet Chocolate Chips (weight)</t>
  </si>
  <si>
    <t>Compliments White Mini Pitas (per pita)</t>
  </si>
  <si>
    <t>Corn</t>
  </si>
  <si>
    <t>Costco Croissant (per croissant)</t>
  </si>
  <si>
    <t>Costco Croissant (weight)</t>
  </si>
  <si>
    <t>Crunchmaster Multi-Grain Crackers (Per Cracker)</t>
  </si>
  <si>
    <t>Cucumber</t>
  </si>
  <si>
    <t>Cupcake</t>
  </si>
  <si>
    <t>Custom (0:1)</t>
  </si>
  <si>
    <t>Custom (1:1)</t>
  </si>
  <si>
    <t>Daiya Mozza Shreds (shredded cheese)</t>
  </si>
  <si>
    <t>Dare Breaktime Chocolate Chip Cookie (Per Cookie)</t>
  </si>
  <si>
    <t>Del Monte Fruit Cup - Mandarin Orange (Per Cup)</t>
  </si>
  <si>
    <t>Del Monte Fruit Cup - Mixed Fruit (Per Cup)</t>
  </si>
  <si>
    <t>Del Monte Fruit Cup - Peaches (Per Cup)</t>
  </si>
  <si>
    <t>Del Monte Fruit Cup - Very Cherry (Per Cup)</t>
  </si>
  <si>
    <t>Del Monte Sliced Peaches Can - No Sugar Added</t>
  </si>
  <si>
    <t>Dill Pickles</t>
  </si>
  <si>
    <t>Dip</t>
  </si>
  <si>
    <t>Doritos</t>
  </si>
  <si>
    <t>Double Fruit 'No Sugar Added' Jam (Strawberry / Blueberry)</t>
  </si>
  <si>
    <t>Earth's Own Almond Unsweetened Vanilla Milk</t>
  </si>
  <si>
    <t>Earth's Own Vanilla Oat Milk (sugar milk)</t>
  </si>
  <si>
    <t>Eggo Waffles (per waffle)</t>
  </si>
  <si>
    <t>Eggs</t>
  </si>
  <si>
    <t>Ego Waffles (Per Waffle)</t>
  </si>
  <si>
    <t>Enjoy Unsweetened Vanilla Almond Milk</t>
  </si>
  <si>
    <t>FarmBoy Vegan Beef-less Tenders (per piece)</t>
  </si>
  <si>
    <t>FarmBoy Vegan Chicken-Less Nuggets</t>
  </si>
  <si>
    <t>Flax Seed</t>
  </si>
  <si>
    <t>Fontaine Sante Extra Firm Tofu (Costco)</t>
  </si>
  <si>
    <t>Froot Loops (cereal)</t>
  </si>
  <si>
    <t>Frozen Blueberries</t>
  </si>
  <si>
    <t>Frozen Mangos</t>
  </si>
  <si>
    <t>Frozen Strawberries</t>
  </si>
  <si>
    <t>Frozen Strawberry &amp; Banana Mix</t>
  </si>
  <si>
    <t>Fruitsations Apple Sauce - Blueberry (Per Cup)</t>
  </si>
  <si>
    <t>Fruitsations Apple Sauce - Pomegranate (Per Cup)</t>
  </si>
  <si>
    <t>Fruitsations Apple Sauce - Strawberry Kiwi (Per Cup)</t>
  </si>
  <si>
    <t>Fruitsations Unsweetened Apple Sauce - Apple (Per Cup)</t>
  </si>
  <si>
    <t>Gardein Golden Fish Filets (Per Fillet)</t>
  </si>
  <si>
    <t>Gardein Supreme Breakfast Sausage (per patty)</t>
  </si>
  <si>
    <t>Gardein Supreme Breakfast Sausage (per weight)</t>
  </si>
  <si>
    <t>Gardein Supreme Chick'n Nuggets</t>
  </si>
  <si>
    <t>Gardein Supreme Chick'n Tenders (per piece)</t>
  </si>
  <si>
    <t>Gardein Supreme F'sh Filets (per fish filet)</t>
  </si>
  <si>
    <t>Gingerbread Ball</t>
  </si>
  <si>
    <t>Gingerbread Man</t>
  </si>
  <si>
    <t>Gingerbread Tree</t>
  </si>
  <si>
    <t>Girl Guide Cookie - Mint Chocolate (per cookie)</t>
  </si>
  <si>
    <t>GoGo Quinoa Organic Fusilli Noodles - Rice &amp; Quinoa (cooked)</t>
  </si>
  <si>
    <t>GoGo Squeez - Apple Peach (per fruit pouch)</t>
  </si>
  <si>
    <t>Goldfish</t>
  </si>
  <si>
    <t>Good Good Caramel</t>
  </si>
  <si>
    <t>Good Good Syrup</t>
  </si>
  <si>
    <t>Graham Crackers</t>
  </si>
  <si>
    <t>Grapes</t>
  </si>
  <si>
    <t>Green Beans</t>
  </si>
  <si>
    <t>Green Onions</t>
  </si>
  <si>
    <t>Green Peas</t>
  </si>
  <si>
    <t>Gusta Chickenless Nuggets</t>
  </si>
  <si>
    <t>Gusta Ground Soy</t>
  </si>
  <si>
    <t>Gusta Ham (per slice)</t>
  </si>
  <si>
    <t>Gusta Ham (per weight)</t>
  </si>
  <si>
    <t>Hanna's White Pita (per pita)</t>
  </si>
  <si>
    <t>Hanna's White Pita (per weight)</t>
  </si>
  <si>
    <t>Heinz Ketchup</t>
  </si>
  <si>
    <t>Hellmann's Regular Mayo</t>
  </si>
  <si>
    <t>Hellmann's Vegan Mayo</t>
  </si>
  <si>
    <t>Hemp Hearts</t>
  </si>
  <si>
    <t>Ho-Ya Soy Sauce</t>
  </si>
  <si>
    <t>Honey</t>
  </si>
  <si>
    <t>Honeydew</t>
  </si>
  <si>
    <t>Hummus (per cup)</t>
  </si>
  <si>
    <t>Hummus (per weight)</t>
  </si>
  <si>
    <t>Ice Cream Cone (per cone)</t>
  </si>
  <si>
    <t>Iceberg Lettuce</t>
  </si>
  <si>
    <t>Impossible Chicken Nuggets</t>
  </si>
  <si>
    <t>IOGO Lactose-Free Yogurt - Strawberry Banana (per "yog")</t>
  </si>
  <si>
    <t>IOGO Lactose-Free Yogurt - Vanilla (per "yog")</t>
  </si>
  <si>
    <t>Jean-Philippe BBQ Smoked Tofu</t>
  </si>
  <si>
    <t>Jean-Philippe Maple Smoked Tofu</t>
  </si>
  <si>
    <t>Jelly Bean (per jelly bean)</t>
  </si>
  <si>
    <t>Kinder Surprise</t>
  </si>
  <si>
    <t>Kirkland Frozen Mixed Vegetables (Veggies)</t>
  </si>
  <si>
    <t>Kirkland Organic Apple Snack (per fruit pouch)</t>
  </si>
  <si>
    <t>Kiwi</t>
  </si>
  <si>
    <t>Kraft Smooth Peanut Butter</t>
  </si>
  <si>
    <t>Kraft Smooth Peanut Butter (per single serve pack)</t>
  </si>
  <si>
    <t>La Recolte De St-Méthode Oat Bread (Per Slice)</t>
  </si>
  <si>
    <t>Lactose-Free Mozzarella Cheese</t>
  </si>
  <si>
    <t>Le Campagnolo Whole Wheat Olive Oil Bread (Per Slice)</t>
  </si>
  <si>
    <t>Lemon Juice</t>
  </si>
  <si>
    <t>Lentils (cooked)</t>
  </si>
  <si>
    <t>Lentils (uncooked)</t>
  </si>
  <si>
    <t>Les Grains St-Méthode Multi-Cereal Bread (Per Slice)</t>
  </si>
  <si>
    <t>Liberte Greek Yogurt - Raspberry</t>
  </si>
  <si>
    <t>Light Life Smart Bacon (per strip)</t>
  </si>
  <si>
    <t>Light Life Smart Dogs (per weiner)</t>
  </si>
  <si>
    <t>Light Life Smart Tenders</t>
  </si>
  <si>
    <t>Macaroni Noodles (Cooked)</t>
  </si>
  <si>
    <t>Made Good Chocolate Chip Cookie</t>
  </si>
  <si>
    <t>Made Good Double Chocolate Cookie (per cookie)</t>
  </si>
  <si>
    <t>Made Good Vanilla Cookie (per cookie)</t>
  </si>
  <si>
    <t>Margarine</t>
  </si>
  <si>
    <t>Mashed Potatoes (Kyle's Micheline Star)</t>
  </si>
  <si>
    <t>McCain Breakfast Potato Pancakes (per piece)</t>
  </si>
  <si>
    <t>McCain Breakfast Potato Pancakes (per weight)</t>
  </si>
  <si>
    <t>McCain Super Spirals (curly fries)</t>
  </si>
  <si>
    <t>McDonalds Fries (small)</t>
  </si>
  <si>
    <t>Melba Toast - 12 Grain</t>
  </si>
  <si>
    <t>Mixed Beans (drained)</t>
  </si>
  <si>
    <t>Molasses</t>
  </si>
  <si>
    <t>Mr. Freeze No Sugar Added (per Freezie)</t>
  </si>
  <si>
    <t>Mustard</t>
  </si>
  <si>
    <t>Nafsika's Garden - Shredded Pizza Cheese</t>
  </si>
  <si>
    <t>Nafsika's Garden - Swiss Cheese (per slice)</t>
  </si>
  <si>
    <t>Nafsika's Garden Cheddar Block</t>
  </si>
  <si>
    <t>Natura Soy Milk - Chocolate milk (per 200ml box)</t>
  </si>
  <si>
    <t>Natura Soy Milk - Strawberry milk (per 200ml box)</t>
  </si>
  <si>
    <t>Natura Soy Milk - Vanilla milk (per 200ml box)</t>
  </si>
  <si>
    <t>Nesquik</t>
  </si>
  <si>
    <t>NutiLight Chocolate Hazelnut Spread</t>
  </si>
  <si>
    <t>NutiLight Hazelnut Spread</t>
  </si>
  <si>
    <t>Nutritional Yeast</t>
  </si>
  <si>
    <t>Old El Paso Taco Shell (per shell)</t>
  </si>
  <si>
    <t>Olive Oil</t>
  </si>
  <si>
    <t>Orange</t>
  </si>
  <si>
    <t>Organic Pumpkin Seeds</t>
  </si>
  <si>
    <t>Parsley</t>
  </si>
  <si>
    <t>Pate 2000 Pizza Crust - Thin - Plain (per crust)</t>
  </si>
  <si>
    <t>Peaches</t>
  </si>
  <si>
    <t>Peanut Sauce</t>
  </si>
  <si>
    <t>Peanuts (no shell)</t>
  </si>
  <si>
    <t>Pear</t>
  </si>
  <si>
    <t>Pedialyte Freezer Pops (per freezie)</t>
  </si>
  <si>
    <t>Pickled Beets</t>
  </si>
  <si>
    <t>Pillsbury Croissants (Per Crescent Roll)</t>
  </si>
  <si>
    <t>Pineapple</t>
  </si>
  <si>
    <t>Pistachios</t>
  </si>
  <si>
    <t>POM Hamburger Bun</t>
  </si>
  <si>
    <t>POM Whole Wheat Tortilla Wrap (Per Tortilla)</t>
  </si>
  <si>
    <t>Potato (boiled w. skin)</t>
  </si>
  <si>
    <t>Pringles Minis - Original (per bag)</t>
  </si>
  <si>
    <t>Pringles Minis - Original (per weight)</t>
  </si>
  <si>
    <t>Quaker Quick Oats Oatmeal</t>
  </si>
  <si>
    <t>Quest Cheese Crackers (per pack)</t>
  </si>
  <si>
    <t>Quinoa (cooked)</t>
  </si>
  <si>
    <t>Raspberries</t>
  </si>
  <si>
    <t>Raw Veggies (per serving)</t>
  </si>
  <si>
    <t>Relish</t>
  </si>
  <si>
    <t>Revolution Nutrition Protein Powder (Cookie Dough Ice Cream)</t>
  </si>
  <si>
    <t>Riviera Coconut Yogurt - Vanilla</t>
  </si>
  <si>
    <t>Riviera Greek Yogurt - Regular</t>
  </si>
  <si>
    <t>Riviera Greek Yogurt - Vanilla</t>
  </si>
  <si>
    <t>Romaine Lettuce</t>
  </si>
  <si>
    <t>Roti White Tortilla Wrap (Per Wrap)</t>
  </si>
  <si>
    <t>Roti Whole Wheat Tortilla Wrap (Per Wrap)</t>
  </si>
  <si>
    <t>Royal Asia Vegetable Spring Rolls (Per Roll)</t>
  </si>
  <si>
    <t>Salt</t>
  </si>
  <si>
    <t>Shefu Tofu - Lightly Seasoned Tofu Bites</t>
  </si>
  <si>
    <t>Shefu Tofu - Southern Style Slices (per strip)</t>
  </si>
  <si>
    <t>Silk Probiotic Yogurt Vanilla (Per Cup)</t>
  </si>
  <si>
    <t>Simply Desserts Pudding (Made with almond milk)</t>
  </si>
  <si>
    <t>Smiley Face Fries (Per Fry)</t>
  </si>
  <si>
    <t>Snack Pack Chocolate Pudding (per cup)</t>
  </si>
  <si>
    <t>So Delicious Cashew Ice Cream - Chocolate</t>
  </si>
  <si>
    <t>So Delicious Cashew Ice Cream - Vanilla</t>
  </si>
  <si>
    <t>So Delicious Coco Whip</t>
  </si>
  <si>
    <t>Spaghetti Noodles (Cooked)</t>
  </si>
  <si>
    <t>Spaghetti Sauce</t>
  </si>
  <si>
    <t>Spices (0:1)</t>
  </si>
  <si>
    <t>Spices (1:1)</t>
  </si>
  <si>
    <t>Spinach</t>
  </si>
  <si>
    <t>Sprinkles</t>
  </si>
  <si>
    <t>Spudsy Sweet Potato Poppers (roughly 0.6g per piece)</t>
  </si>
  <si>
    <t>St. Hubert Brown Gravy</t>
  </si>
  <si>
    <t>Steeves Sugar Free Syrup</t>
  </si>
  <si>
    <t>Stonefire Naan Dippers (per mini naan)</t>
  </si>
  <si>
    <t>Strawberries</t>
  </si>
  <si>
    <t>Sugar Free BBQ Sauce</t>
  </si>
  <si>
    <t>Sugar Snap Peas</t>
  </si>
  <si>
    <t>Sugar-Free Ketchup</t>
  </si>
  <si>
    <t>Sun Maid Cinnamon Raisin Bread (Per Slice)</t>
  </si>
  <si>
    <t>Sunflower Seeds</t>
  </si>
  <si>
    <t>Sunny Superfood Breakfast Bites</t>
  </si>
  <si>
    <t>Supreme Ground Beef</t>
  </si>
  <si>
    <t>Sweet Potato (raw &amp; peeled)</t>
  </si>
  <si>
    <t>Sweets from the Earth - Double Chocolate Cookie (per cookie)</t>
  </si>
  <si>
    <t>Tandoori Garlic Naan (per naan)</t>
  </si>
  <si>
    <t>Tipiak Couscous (Cooked)</t>
  </si>
  <si>
    <t>Tofurky Hickory Smoked (per slice)</t>
  </si>
  <si>
    <t>Tomato Juice</t>
  </si>
  <si>
    <t>Tomato Paste</t>
  </si>
  <si>
    <t>Tomato Sauce</t>
  </si>
  <si>
    <t>Tomato Tofu (per serving)</t>
  </si>
  <si>
    <t>Tomatos (Raw)</t>
  </si>
  <si>
    <t>Tostitos</t>
  </si>
  <si>
    <t>Ultimate Kale Chips - Cheddar</t>
  </si>
  <si>
    <t>Vanilla Extract</t>
  </si>
  <si>
    <t>Vegan Butter</t>
  </si>
  <si>
    <t>Vegetable Oil</t>
  </si>
  <si>
    <t>Veggie Straws</t>
  </si>
  <si>
    <t>Veggies and Dip (per serving)</t>
  </si>
  <si>
    <t>VH Soy Sauce</t>
  </si>
  <si>
    <t>VH Sweet and Sour Sauce</t>
  </si>
  <si>
    <t>Vinegar</t>
  </si>
  <si>
    <t>Volupta Erythritol &amp; Monk Fruit Extract Sweetener (sugar alternative)</t>
  </si>
  <si>
    <t>Walmart Cheese Croissant (by croissant)</t>
  </si>
  <si>
    <t>Walmart Cheese Croissant (by weight)</t>
  </si>
  <si>
    <t>Watermelon</t>
  </si>
  <si>
    <t>West Point Naturals Textured Pea Protein Mince (TVP) - 70%</t>
  </si>
  <si>
    <t>WowButter</t>
  </si>
  <si>
    <t>Yellow beans</t>
  </si>
  <si>
    <t>Yves Bologna (per slice)</t>
  </si>
  <si>
    <t>Yves Breakfast Sausages (per sausage)</t>
  </si>
  <si>
    <t>Yves Ground Round (Soy)</t>
  </si>
  <si>
    <t>Yves Mediterrainean Harissa Veggie Sausages (per 1/2 sausage)</t>
  </si>
  <si>
    <t>Yves Pepperoni (per gram)</t>
  </si>
  <si>
    <t>Yves Pepperoni (per slice)</t>
  </si>
  <si>
    <t>Yves Turkey Slices (Per Slice)</t>
  </si>
  <si>
    <t>Yves Veggie Chick'n Nuggets</t>
  </si>
  <si>
    <t>Yves Veggie Chick'n Tenders with Ancient Grains (Per Piece)</t>
  </si>
  <si>
    <t>Yves Veggie Ham (Per Slice)</t>
  </si>
  <si>
    <t>White Balsamic Vinegar</t>
  </si>
  <si>
    <t>Fruit By The Foot Mini Feet - Berry Tie-Dye (each)</t>
  </si>
  <si>
    <t>Silk Unsweetened Soy Milk</t>
  </si>
  <si>
    <t>Farm Girl Pancake Mix</t>
  </si>
  <si>
    <t>Almonds</t>
  </si>
  <si>
    <t>Great Value Lactose-Free Cream Cheese</t>
  </si>
  <si>
    <t>Canned pear no sugar added</t>
  </si>
  <si>
    <t>Lindt Chocolate Ball (each)</t>
  </si>
  <si>
    <t>Sweet Potato - Mashed</t>
  </si>
  <si>
    <t>Cream Cheese - Great Value Lactose free</t>
  </si>
  <si>
    <t>Impossible Italian Meatballs (each)</t>
  </si>
  <si>
    <t>Gusta Bologna (per slice)</t>
  </si>
  <si>
    <t>NutiLight Hazelnut spread with Cocoa Milk</t>
  </si>
  <si>
    <t>Onetang Freeze-Dried Pineapple</t>
  </si>
  <si>
    <t>Pate 2000 Pizza Crust - Thin - Plain (per gram)</t>
  </si>
  <si>
    <t>So Delicious Ice Cream Bar - Coconut Vanilla (each)</t>
  </si>
  <si>
    <t>Vegetable Things - Original</t>
  </si>
  <si>
    <t>Water</t>
  </si>
  <si>
    <t>Date</t>
  </si>
  <si>
    <t>Meal</t>
  </si>
  <si>
    <t>Weight (g)</t>
  </si>
  <si>
    <t>Doc URL</t>
  </si>
  <si>
    <t>Breakfast</t>
  </si>
  <si>
    <t>https://docs.google.com/open?id=1o9L2lTrBDlbyB_v9oW9OkkSzVIujkvkuoJLiFUHhdZA</t>
  </si>
  <si>
    <t>Morning Snack</t>
  </si>
  <si>
    <t>Dinner</t>
  </si>
  <si>
    <t>https://docs.google.com/open?id=1kD2eLH7Asnu83kjTVOV3tHJHaj_MBJzuGGBeFPpv8Zg</t>
  </si>
  <si>
    <t>Lunch</t>
  </si>
  <si>
    <t>Afternoon Snack</t>
  </si>
  <si>
    <t>Evening Snack</t>
  </si>
  <si>
    <t>https://docs.google.com/open?id=1h9CmVCxFuDLMFbGBaBznFKnrVbxtmirpfh28FMmvHFA</t>
  </si>
  <si>
    <t>https://docs.google.com/open?id=1dn6RtWI4bVAKo34n2gOlH7Fnf6Iz74c0wIpHxYBfVH0</t>
  </si>
  <si>
    <t xml:space="preserve">n </t>
  </si>
  <si>
    <t>https://docs.google.com/open?id=1wcUZA2AJJAnk_DF1yBKKxtgeMyEd3R2aHREKq4PwKlM</t>
  </si>
  <si>
    <t>https://docs.google.com/open?id=1XyR-gGGQqxrvJMnZqhdZV1vpn6mpIchIDaWT1iTjQ1s</t>
  </si>
  <si>
    <t>https://docs.google.com/open?id=1E-IWktvBhXZkLe3d_xFouVPZjkFvOsP25i5UAnPZSgk</t>
  </si>
  <si>
    <t>salad</t>
  </si>
  <si>
    <t>https://docs.google.com/open?id=132HzGhCHyR6R0lNb3SgMlNXMPi7nQY4Ls1hXrpodhk8</t>
  </si>
  <si>
    <t>https://docs.google.com/open?id=1uxkHlxkrkOknNySWSHkw1E-w8qxRa4QcDIS3ofTHz6E</t>
  </si>
  <si>
    <t>https://docs.google.com/open?id=11E8R1bQ23GhGNvZHieQ3c1jxoTYeFGgRIMKaucCavAM</t>
  </si>
  <si>
    <t>Keto Apple Muffins</t>
  </si>
  <si>
    <t>https://docs.google.com/open?id=1LQOv5EYH_R2CeIxPcHJt5glQfrI6PypAsdhVvkmyaJo</t>
  </si>
  <si>
    <t>https://docs.google.com/open?id=1b5EBsjnO8xq11562TfC0EcteDBoMzqi58ctXnoBMLek</t>
  </si>
  <si>
    <t>https://docs.google.com/open?id=1nszvb9okTDe1oHmfXESj2bAi0TjFNbvwfU8UkOqBLtA</t>
  </si>
  <si>
    <t>Cream cheese sweet potatoes</t>
  </si>
  <si>
    <t>https://docs.google.com/open?id=1O6WP7BjNhVBlpSXDpuhu8XnO5U4_yq9Oi8iHm19Yq6U</t>
  </si>
  <si>
    <t>muffins</t>
  </si>
  <si>
    <t>Salad</t>
  </si>
  <si>
    <t>https://docs.google.com/open?id=11RCR-ICjnGrOvbfl-eNUHVrqDYVTU5Y0LLfZtRfHMCk</t>
  </si>
  <si>
    <t>https://docs.google.com/open?id=11ZeB8PsVs48w9YMFxUppSZ4ow6LSHaZPvNZLuq1JbNo</t>
  </si>
  <si>
    <t>Cooked Carrots w. Sauce</t>
  </si>
  <si>
    <t>Waffles</t>
  </si>
  <si>
    <t>https://docs.google.com/document/d/1VtytLEKEVBtJDMXGaswdFmkQF5hzCCR6WDyg1_ppG4w/edit?usp=drivesdk</t>
  </si>
  <si>
    <t>Roti Whole Wheat Tortilla Wrap</t>
  </si>
  <si>
    <t>Double Fruit 'No Sugar Added' Jam</t>
  </si>
  <si>
    <t>Quest Cheese Crackers</t>
  </si>
  <si>
    <t>Custom</t>
  </si>
  <si>
    <t>Silk Coconut Unsweetened Vanilla Yogurt Carb factor: Absorption Rate: Weight given: 104 Net carbs: 3.1 Food: Hemp Hearts</t>
  </si>
  <si>
    <t>https://docs.google.com/document/d/1PXc924RFTgH7VRQl4xkKX84S17MCTAjQeZOGTDfbYjo/edit?usp=drivesdk</t>
  </si>
  <si>
    <t>Les Grains St-Méthode Multi-Cereal Bread</t>
  </si>
  <si>
    <t>Raw Veggies</t>
  </si>
  <si>
    <t>Strawberry sorbet</t>
  </si>
  <si>
    <t>https://docs.google.com/document/d/1lm8V-ZylpI-85aQu9UKyddFaCAhJkismt0LKJCkBHVI/edit?usp=drivesdk</t>
  </si>
  <si>
    <t>Almonds Carb factor: Absorption Rate: Weight given: 35 Net carbs: 1.4 Food: Kiwi</t>
  </si>
  <si>
    <t>Lundberg Thin Brown Rice Cakes - Fine Herb</t>
  </si>
  <si>
    <t>https://docs.google.com/document/d/1xajdrfDwH0hMMjvlt9tbbSvAGZ_BlowTDlOlti1wahE/edit?usp=drivesdk</t>
  </si>
  <si>
    <t>Del Monte Fruit Cup - Mixed Fruit</t>
  </si>
  <si>
    <t>Tomatos</t>
  </si>
  <si>
    <t>Fontaine Sante Extra Firm Tofu</t>
  </si>
  <si>
    <t>Basmati Rice</t>
  </si>
  <si>
    <t>eggs</t>
  </si>
  <si>
    <t>https://docs.google.com/document/d/1j8N2mjEes42WQQAmHYNc-kJUgT-vSbrILiAI62vxcXE/edit?usp=drivesdk</t>
  </si>
  <si>
    <t>Gardein Supreme Chick'n Tenders</t>
  </si>
  <si>
    <t>Baby Corn</t>
  </si>
  <si>
    <t>Carrots</t>
  </si>
  <si>
    <t>https://docs.google.com/document/d/1ZNZ5SaIambW0TRn75C2OFf1E32aU20kU6EsiR7Az_2g/edit?usp=drivesdk</t>
  </si>
  <si>
    <t>apple</t>
  </si>
  <si>
    <t>Macaroni Noodles</t>
  </si>
  <si>
    <t>https://docs.google.com/document/d/1WmYAhnInYdQfVt7LAOLYCCIKhzwxPyV9Vn9aJHIUJ5E/edit?usp=drivesdk</t>
  </si>
  <si>
    <t>Tomato Tofu Sauce</t>
  </si>
  <si>
    <t>Quinoa</t>
  </si>
  <si>
    <t>Broccoli  with 19g sugar-free syrup, 12g VH soy sauce, 7g olive oil)</t>
  </si>
  <si>
    <t>https://docs.google.com/document/d/1WuquTY5I99LI10E-GpGqLHXdh5Hpkyp2N3lIDxXW5xY/edit?usp=drivesdk</t>
  </si>
  <si>
    <t>Pillsbury Croissants</t>
  </si>
  <si>
    <t>Compliments Semi-Sweet Chocolate Chips</t>
  </si>
  <si>
    <t>Hanna's White Pita</t>
  </si>
  <si>
    <t>Gusta Ham</t>
  </si>
  <si>
    <t>https://docs.google.com/document/d/1V69srP2VGgOIaabiqHI3c5HF3FyPs5Awod11YxC71ec/edit?usp=drivesdk</t>
  </si>
  <si>
    <t>Canned Potatoes</t>
  </si>
  <si>
    <t>https://docs.google.com/document/d/1utIBgr8m3RpunGbt88_YJ40lmYH6j9nZKLSJCskjYOI/edit?usp=drivesdk</t>
  </si>
  <si>
    <t>https://docs.google.com/document/d/1ykFxW2lOcRAk3SpSZPD0496KYiG-W_Q7NpSsrRmTTxE/edit?usp=drivesdk</t>
  </si>
  <si>
    <t>Supreme Chick'n strips</t>
  </si>
  <si>
    <t>Kirkland Frozen Mixed Vegetables</t>
  </si>
  <si>
    <t>Walmart Cheese Croissant</t>
  </si>
  <si>
    <t>https://docs.google.com/document/d/19ffcUYEZMcB_FGt-yW3muA_Tz_CiRDTUiRDAY9okDk4/edit?usp=drivesdk</t>
  </si>
  <si>
    <t>kiwi</t>
  </si>
  <si>
    <t>Shefu Tofu - Southern Style Slices</t>
  </si>
  <si>
    <t>https://docs.google.com/document/d/13P-5TW8VxYTtpjrU4yljrKeUJDidsNeTj2jusg82E8I/edit?usp=drivesdk</t>
  </si>
  <si>
    <t>Spaghetti Noodles</t>
  </si>
  <si>
    <t>https://docs.google.com/document/d/1EKSIXaOeGTh0KHVKnI6OFK2kH-866_IO9MFalQEBP4s/edit?usp=drivesdk</t>
  </si>
  <si>
    <t>IOGO Lactose-Free Yogurt - Vanilla</t>
  </si>
  <si>
    <t>Gusta Bologna</t>
  </si>
  <si>
    <t>Compliments White Mini Pitas</t>
  </si>
  <si>
    <t>https://docs.google.com/document/d/1TWex2w7xgiyIXBbDMsTqLIfbuucVxd_1PRfyZkAViHw/edit?usp=drivesdk</t>
  </si>
  <si>
    <t>Barilla Heart Noodles  Carb factor: Absorption Rate: Weight given: 64 Net carbs: 14.7 --- Meal Builder Breakdown --- Cabbage Mix - 3 Colo CF: 0.03 | Abs: 3.5 | Wt: 406 | Carb: 12.18 Vinegar CF: 0 | Abs: 3 | Wt: 40 | Carb: 0 Hellmann's Regular M CF: 0 | Abs: 3 | Wt: 135 | Carb: 0 Dill Pickles CF: 0.03 | Abs: 3 | Wt: 45 | Carb: 1.35 Recipe Net Carbs: 13.53 Recipe Total Wt: 626 Recipe Final CF: 0.02 Recipe Avg Abs: 3.5 ------------------------------ Food: Tomato Sauce</t>
  </si>
  <si>
    <t>Impossible Italian Meatballs</t>
  </si>
  <si>
    <t>Cabbage Salad</t>
  </si>
  <si>
    <t>https://docs.google.com/document/d/1NnZ5QULpRRFVoArqk6Vb_8ANfczxR_IxeORrCU44D8I/edit?usp=drivesdk</t>
  </si>
  <si>
    <t>Gardein Supreme F'sh Filets</t>
  </si>
  <si>
    <t>Veggies and Dip</t>
  </si>
  <si>
    <t>https://docs.google.com/document/d/1z4SQa8KXtKJP2Tc-OXM_wa40FTTT3xvrp_y_QSBL8vM/edit?usp=drivesdk</t>
  </si>
  <si>
    <t>https://docs.google.com/document/d/1h9WQxFVohNuBfVUELtiJb1fMQHcVm5NWB2DtCBr3yrI/edit?usp=drivesdk</t>
  </si>
  <si>
    <t>Stonefire Naan Dippers</t>
  </si>
  <si>
    <t>Hummus - Roasted Red Pepper</t>
  </si>
  <si>
    <t>https://docs.google.com/document/d/1JgCa2zOxFe-9kDox5LuQDUjC9gnzUMq1AN3EUNSAnP4/edit?usp=drivesdk</t>
  </si>
  <si>
    <t>Beyond Burger</t>
  </si>
  <si>
    <t>https://docs.google.com/document/d/1P1WkN22kVsXgNUcQrqZyrpwWWVqmBG7xdQ7UQTAeauE/edit?usp=drivesdk</t>
  </si>
  <si>
    <t>Beyond italian meatballs</t>
  </si>
  <si>
    <t>https://docs.google.com/document/d/1-xOHbWHkxYg9lcL4xrbKzYPdteivQndB8aPsNMIzOto/edit?usp=drivesdk</t>
  </si>
  <si>
    <t>strip  Carb factor: Absorption Rate: Weight given: 35 Net carbs: 1.1 Food: Jello</t>
  </si>
  <si>
    <t>Natura Soy Milk - Strawberry milk</t>
  </si>
  <si>
    <t>https://docs.google.com/document/d/1IExdGJGIfJtO1t0OKexX77_PmmT1ef7_SOBUHsbOxI0/edit?usp=drivesdk</t>
  </si>
  <si>
    <t>Tomato Tofu</t>
  </si>
  <si>
    <t>Jello</t>
  </si>
  <si>
    <t>https://docs.google.com/document/d/1xU9X-l3yz22PpsAhWIPdYNXPnbfBk-Ca_bfiyL0SpeM/edit?usp=drivesdk</t>
  </si>
  <si>
    <t>https://docs.google.com/document/d/1E-ji5TlYxwjEood80dVFCCpH-wKYX7tC_3Yv_bTORIk/edit?usp=drivesdk</t>
  </si>
  <si>
    <t>Del Monte Fruit Cup - Mandarin Orange</t>
  </si>
  <si>
    <t>Joe's Yogurt Raisins</t>
  </si>
  <si>
    <t>https://docs.google.com/document/d/1BcQYjIQ4_3yQilgnsaNpHeXrE3pRVpNBocUliQfOjP0/edit?usp=drivesdk</t>
  </si>
  <si>
    <t>So Delicious Ice Cream Bar - Vanilla</t>
  </si>
  <si>
    <t>https://docs.google.com/document/d/1yBQ06bu5IiQVJ0TcbjkGp5E-KzQyoG8utbnocRt4tn0/edit?usp=drivesdk</t>
  </si>
  <si>
    <t>Catelli Whole Grain Spaghettini</t>
  </si>
  <si>
    <t>https://docs.google.com/document/d/11-mkPXfHCy38YNfEzRxh2xROeotmHiJ8oEZUgH_uvaI/edit?usp=drivesdk</t>
  </si>
  <si>
    <t>https://docs.google.com/document/d/1SrY2bdqaqceQFS0VbdDKHuuJnpjcDngZBnIvuevl7x4/edit?usp=drivesdk</t>
  </si>
  <si>
    <t>IOGO Lactose-Free Yogurt - Strawberry Banana</t>
  </si>
  <si>
    <t>https://docs.google.com/document/d/1_aalscC4dw9G5BKzUI_ZyaOp0u8SiCXaTClClDrQGv8/edit?usp=drivesdk</t>
  </si>
  <si>
    <t>Del Monte Fruit Cup - Very Cherry</t>
  </si>
  <si>
    <t>https://docs.google.com/document/d/1r0D7E3XZH39FpOJyi7nrJW4vkIamt6NGV8IJQBPnvO0/edit?usp=drivesdk</t>
  </si>
  <si>
    <t>Light Life Smart Dogs</t>
  </si>
  <si>
    <t>https://docs.google.com/document/d/1ydMbEoBR8lcZYWuOI90ria_xEphmhSvDYoI7jQ-LT_U/edit?usp=drivesdk</t>
  </si>
  <si>
    <t>https://docs.google.com/document/d/1PKIoBg1GlrdtZND1qoi3B58KvZiQ7nNGBuJ7tdj5coc/edit?usp=drivesdk</t>
  </si>
  <si>
    <t>https://docs.google.com/document/d/1r5-l9qWxqyg8YNS-752au49k0FaTqK_75GfXi-pS6ns/edit?usp=drivesdk</t>
  </si>
  <si>
    <t>grapes</t>
  </si>
  <si>
    <t>Banana marshmallows</t>
  </si>
  <si>
    <t>https://docs.google.com/document/d/1bmb7ACIMSe8qB8bFNxm9Mq2kpQTpavFmYVLqjs4oE5I/edit?usp=drivesdk</t>
  </si>
  <si>
    <t>Gardein meatballs</t>
  </si>
  <si>
    <t>https://docs.google.com/document/d/15H5PW-Prpx3dHq5pzCA-X5-e2XDcAa-Fla3euW5D6cM/edit?usp=drivesdk</t>
  </si>
  <si>
    <t>veggie salad</t>
  </si>
  <si>
    <t>kirkland roasted almonds</t>
  </si>
  <si>
    <t>Tipiak Couscous</t>
  </si>
  <si>
    <t>https://docs.google.com/document/d/13tcvuMnybwokgAACkGDDMvLvwoSP5UWKfM60mf0OT4o/edit?usp=drivesdk</t>
  </si>
  <si>
    <t>https://docs.google.com/document/d/1mluSToWCzFA-DsAgVhRg7OpqP05htdrXoxGrTc9d0Vo/edit?usp=drivesdk</t>
  </si>
  <si>
    <t>https://docs.google.com/document/d/16oUPZz_G0MIQwF7_2S4-f3J5bPxWqYaBQevjX1b0XsA/edit?usp=drivesdk</t>
  </si>
  <si>
    <t>Compliments Burger Bun</t>
  </si>
  <si>
    <t>https://docs.google.com/document/d/1xSyUEh7DX1vwyOcZt8m3LLk971U5muxAbYzbKSNmrxY/edit?usp=drivesdk</t>
  </si>
  <si>
    <t>https://docs.google.com/document/d/1geZQGFyKmFLcqF7JX3ptcqZTQm_qptmhJjbNdPnlOYI/edit?usp=drivesdk</t>
  </si>
  <si>
    <t>Catelli Whole Grain Penne</t>
  </si>
  <si>
    <t>https://docs.google.com/document/d/1elH1O29Z9d7aLm4pqtBBuxxulB9hWKHop37u8-5lCik/edit?usp=drivesdk</t>
  </si>
  <si>
    <t>https://docs.google.com/document/d/1nAF5IBEJScPgPfzfrkmzOm8BJEDKSLVETWVmyIC_5dI/edit?usp=drivesdk</t>
  </si>
  <si>
    <t>https://docs.google.com/document/d/1-IBSmBqC7mJHPXMy2JfGXPu8aFHh0MJJV9EnzZI5Oac/edit?usp=drivesdk</t>
  </si>
  <si>
    <t>https://docs.google.com/document/d/16IINwPNDRO3jFBR3GvJu4aS-gtI3uxmPUHM9o6IS9n8/edit?usp=drivesdk</t>
  </si>
  <si>
    <t>Custom  Sprinkles</t>
  </si>
  <si>
    <t>Custom  Coolwhip</t>
  </si>
  <si>
    <t>Custom  Salad</t>
  </si>
  <si>
    <t>POM Whole Wheat Tortilla Wrap</t>
  </si>
  <si>
    <t>https://docs.google.com/document/d/1cDmZn4fukuP2g-reRn14tOvcQG2ptELfYeKtjbz3kXU/edit?usp=drivesdk</t>
  </si>
  <si>
    <t>https://docs.google.com/document/d/1IhcHRreygwh92gMSH7mXtfzAUIISBJFZ6AvZrwHiUxw/edit?usp=drivesdk</t>
  </si>
  <si>
    <t>Custom  icecream</t>
  </si>
  <si>
    <t>https://docs.google.com/document/d/1owc5RY8nT0EqHg8jvY5m1Zyu91wARntv3k8fvZ-Hblg/edit?usp=drivesdk</t>
  </si>
  <si>
    <t>Belsoy Chocolate Pudding Cup</t>
  </si>
  <si>
    <t>https://docs.google.com/document/d/1W9P9JcL-LC8k-rFaLZmMyhJxh1HQn6iIukpzB1sUAFU/edit?usp=drivesdk</t>
  </si>
  <si>
    <t>Custom  salad</t>
  </si>
  <si>
    <t>Spices</t>
  </si>
  <si>
    <t>Canned Chickpeas</t>
  </si>
  <si>
    <t>Custom  smarties</t>
  </si>
  <si>
    <t>https://docs.google.com/document/d/1yCfxZBy3mFFAytWgPi9pM8Izz9ThiXdNZZzJlFJppvg/edit?usp=drivesdk</t>
  </si>
  <si>
    <t>Custom  Reese Dipped Animal Cracker</t>
  </si>
  <si>
    <t>https://docs.google.com/document/d/12iKvOY4u3zCEkP48VABv4XnwoU2BVHOxcBrG7YXawag/edit?usp=drivesdk</t>
  </si>
  <si>
    <t>Custom  sausage patty</t>
  </si>
  <si>
    <t>Custom  ritz crackers x2</t>
  </si>
  <si>
    <t>https://docs.google.com/document/d/10eiYZzJYoyN7Sjpsb5J6PlNAbmc0266CUG2LWR3_4yE/edit?usp=drivesdk</t>
  </si>
  <si>
    <t>Fruitsations Apple Sauce - Blueberry</t>
  </si>
  <si>
    <t>Supreme Chick'n Tenders</t>
  </si>
  <si>
    <t>https://docs.google.com/document/d/1k4CYJMrD9N0FBrjcMguNIfhrlA1fiGg2s3YFAjfqSGQ/edit?usp=drivesdk</t>
  </si>
  <si>
    <t>Pringles Minis - Original</t>
  </si>
  <si>
    <t>Custom  chickpea noodle</t>
  </si>
  <si>
    <t>Custom  sauce</t>
  </si>
  <si>
    <t>https://docs.google.com/document/d/1jB-W66IpPnyVBEvYck9wzOI1_N54bVqf2RzUVh5NadI/edit?usp=drivesdk</t>
  </si>
  <si>
    <t>Peanuts</t>
  </si>
  <si>
    <t>Roti White Tortilla Wrap</t>
  </si>
  <si>
    <t>https://docs.google.com/document/d/1bajfgo1hP28nyO5DqKCZDIbdfNf9f0mnJtSRRaHcDzg/edit?usp=drivesdk</t>
  </si>
  <si>
    <t>Mixed Beans</t>
  </si>
  <si>
    <t>https://docs.google.com/document/d/1yCxzPKqlRVSPrOc7W3UPLWXT9Qhrm4FaV3UN_HJt8q8/edit?usp=drivesdk</t>
  </si>
  <si>
    <t>Tandoori Garlic Naan</t>
  </si>
  <si>
    <t>https://docs.google.com/document/d/11G6Jm7uCTjSQ0xOCd0J7l4GpnM5XGO_Id20LaGp8NYY/edit?usp=drivesdk</t>
  </si>
  <si>
    <t>https://docs.google.com/document/d/1e91KCl0WjrvBj46PW2v2YPEfeIyIAngh24nRTgZqaVU/edit?usp=drivesdk</t>
  </si>
  <si>
    <t>Yves Bologna</t>
  </si>
  <si>
    <t>Fruitsations Apple Sauce - Pomegranate</t>
  </si>
  <si>
    <t>https://docs.google.com/document/d/18xofVuv1OB15BduGZgUmNc_4mOVJwb85g5r4bk8mOfM/edit?usp=drivesdk</t>
  </si>
  <si>
    <t>https://docs.google.com/document/d/18UPqzRbv-w0wr4nIJwTx8w2tkM6Uh8nQ1xHlE_ijfC8/edit?usp=drivesdk</t>
  </si>
  <si>
    <t>Smiley Face Fries</t>
  </si>
  <si>
    <t>https://docs.google.com/document/d/10Ko5MVkteAmQUiEFKNpgayMx7dXlp7lCNme7P1RYCBA/edit?usp=drivesdk</t>
  </si>
  <si>
    <t>Custom  12g PB ball</t>
  </si>
  <si>
    <t>Custom  Spaghetti Sauce</t>
  </si>
  <si>
    <t>https://docs.google.com/document/d/17dce6K9QeihQUF6ohKe6ivsDGIkMX3SfgvZYs-N_PM4/edit?usp=drivesdk</t>
  </si>
  <si>
    <t>Baked Potato</t>
  </si>
  <si>
    <t>https://docs.google.com/document/d/1H09qnEE7NbjkTardR9R0IiTtfTjK2h_aIdY9C6iXhfk/edit?usp=drivesdk</t>
  </si>
  <si>
    <t>Custom  Pancakes Carb factor: Total weight given: 214 Total net carbs: 9.24 Food: Steeves Sugar Free Syrup</t>
  </si>
  <si>
    <t>Custom  gargein sausage patty</t>
  </si>
  <si>
    <t>Custom  PB quinoa ball</t>
  </si>
  <si>
    <t>https://docs.google.com/document/d/1nno4M0ju2gsBg5dj8OOxw3TNFgkFU7O19Tn38xHx0EU/edit?usp=drivesdk</t>
  </si>
  <si>
    <t>https://docs.google.com/document/d/1iPLPwWjtRqSOjN_y97lgKffhNUB0bvvrgFc37SeRfRg/edit?usp=drivesdk</t>
  </si>
  <si>
    <t>Simply Desserts Pudding</t>
  </si>
  <si>
    <t>https://docs.google.com/document/d/1vPZMNMKQ9E-g0pXkb6_TBL37FOYiu03ILjR7dGrLTe0/edit?usp=drivesdk</t>
  </si>
  <si>
    <t>Hummus</t>
  </si>
  <si>
    <t>https://docs.google.com/document/d/16PPgnCb9x0xMXj1SnTaZCVq5sWD6l4rWltjaXJ_Of3M/edit?usp=drivesdk</t>
  </si>
  <si>
    <t>Potato</t>
  </si>
  <si>
    <t>Baking powder</t>
  </si>
  <si>
    <t>https://docs.google.com/document/d/1_vPKwFEnjGvdlsTNxWqzhuuNaJX6IqoyntnhDn_EdxM/edit?usp=drivesdk</t>
  </si>
  <si>
    <t>Custom  Almond Flour Pancakes</t>
  </si>
  <si>
    <t>Custom  beyond meat balls</t>
  </si>
  <si>
    <t>https://docs.google.com/document/d/1eF7Y6gwhMFZyxezuwzS-NQgFf42pDvWIBk-W5o6mQzU/edit?usp=drivesdk</t>
  </si>
  <si>
    <t>https://docs.google.com/document/d/1CvcKR8SUlf8wwRSW8sWmzjQVjrFnLjRV5eDFVwbB-BI/edit?usp=drivesdk</t>
  </si>
  <si>
    <t>https://docs.google.com/document/d/1ERYJXb2TO-URuN2ORQ0bC7_SjCfiZ2FtgVRuyPEwxtw/edit?usp=drivesdk</t>
  </si>
  <si>
    <t>Custom  Chicken noodle soup</t>
  </si>
  <si>
    <t>https://docs.google.com/document/d/1u8-BvJt93icBEaLz6RZNGIwEdC-M0bUw-bfIroyXlgI/edit?usp=drivesdk</t>
  </si>
  <si>
    <t>GoGo Squeez - Apple Peach</t>
  </si>
  <si>
    <t>https://docs.google.com/document/d/1DEz2XJE7NgnXc8mk3AmeHy7rkkMi_YfdssNQqjdXLEI/edit?usp=drivesdk</t>
  </si>
  <si>
    <t>Yves Pepperoni</t>
  </si>
  <si>
    <t>https://docs.google.com/document/d/1L9R--CWPe4BgHyowBoq-FNP2EQ-ZxuGhStCuj_fXoyk/edit?usp=drivesdk</t>
  </si>
  <si>
    <t>https://docs.google.com/document/d/1xO0zSbJ66Xh8ESVO1JbsmCh5DmH2ce7xOY0OoyTYl_4/edit?usp=drivesdk</t>
  </si>
  <si>
    <t>Lentils</t>
  </si>
  <si>
    <t>Custom  Lentil Apple Salad</t>
  </si>
  <si>
    <t>https://docs.google.com/document/d/1ItSt5G2K59tChoFvVuew3P52BghwX9EbJTXZTsp2SAM/edit?usp=drivesdk</t>
  </si>
  <si>
    <t>https://docs.google.com/document/d/1k2bnufSwjDLYMMWuDJGD5b9U7xr9jdrdl8Gx9uTbJDI/edit?usp=drivesdk</t>
  </si>
  <si>
    <t>West Point Naturals Textured Pea Protein Mince - 70%</t>
  </si>
  <si>
    <t>Custom  Tomato Sauce</t>
  </si>
  <si>
    <t>https://docs.google.com/document/d/1N4ev_BLCiCHMtht2W9rwWWkvEkmFNgGD7u6seYjuAd8/edit?usp=drivesdk</t>
  </si>
  <si>
    <t>Yves Veggie Hot Dog Sausages</t>
  </si>
  <si>
    <t>Compliments Hotdog Bun</t>
  </si>
  <si>
    <t>https://docs.google.com/document/d/1hGNbDRfGTrN-KseK3XfxbOe59qfjC_3_BqVrt4fjLwk/edit?usp=drivesdk</t>
  </si>
  <si>
    <t>Custom  Macaroni Salad</t>
  </si>
  <si>
    <t>https://docs.google.com/document/d/14VRgRLyNUYgaNxw0kKNn8mTszxAq1OVf8O5CO-74PYQ/edit?usp=drivesdk</t>
  </si>
  <si>
    <t>https://docs.google.com/document/d/1-Gz6BPy8Y7skF1Id2r5eR4N4KX3iWQxvN48Lbnkn2c4/edit?usp=drivesdk</t>
  </si>
  <si>
    <t>https://docs.google.com/document/d/12vvWuzE77bTqABGANu3N1z7EJU7b8lmyvCGijjDbULs/edit?usp=drivesdk</t>
  </si>
  <si>
    <t>https://docs.google.com/document/d/1rxzirks6dJMSxg10lLisV08-ZtUkmmQmgLw5gkZE1ss/edit?usp=drivesdk</t>
  </si>
  <si>
    <t>https://docs.google.com/document/d/1BwdCkLDYS8pLmTfAbloDN7Hn7Q3UmYr1YtUI9PRFsh4/edit?usp=drivesdk</t>
  </si>
  <si>
    <t>https://docs.google.com/document/d/1ZhaEyqqygVTMahiL7BjigzV4UeT0J9joWZkWVhyKzvQ/edit?usp=drivesdk</t>
  </si>
  <si>
    <t>https://docs.google.com/document/d/12X693985ojOZOWGWxQG5tJawFs8iRUGlQ-sYihpkOxk/edit?usp=drivesdk</t>
  </si>
  <si>
    <t>McDonalds Fries</t>
  </si>
  <si>
    <t>Custom  Chocolate</t>
  </si>
  <si>
    <t>https://docs.google.com/document/d/1mGyWP779XsEeZEug2fwUU9PlTvWb_CAmnsEvfNp5Jis/edit?usp=drivesdk</t>
  </si>
  <si>
    <t>https://docs.google.com/document/d/1DJ2M8flup7cH9fUmyN3uDo87lI2F6Wf0Eb0fZe6XPik/edit?usp=drivesdk</t>
  </si>
  <si>
    <t>Custom  Advent calendar chocolate</t>
  </si>
  <si>
    <t>https://docs.google.com/document/d/1j4tzh2ncqWOcDSGnHtjGKb92Fk3Aj8ReMD09qoLOEAo/edit?usp=drivesdk</t>
  </si>
  <si>
    <t>https://docs.google.com/document/d/1q-Cd8C_UBlO8k5keUY55dfBMkDpDxE0q_3eqGNUK9ww/edit?usp=drivesdk</t>
  </si>
  <si>
    <t>Fruitsations Unsweetened Apple Sauce - Apple</t>
  </si>
  <si>
    <t>https://docs.google.com/document/d/1EgWZa2pl8jYTppsotA6e-nLWMBvlLR3z9r39_CYq2WA/edit?usp=drivesdk</t>
  </si>
  <si>
    <t>Custom  Reese's Nutcracker</t>
  </si>
  <si>
    <t>https://docs.google.com/document/d/1sGcpbdfW3sM2aKGzUP8l53x0eUBh7kARrsi5h08Y2RU/edit?usp=drivesdk</t>
  </si>
  <si>
    <t>Natura Soy Milk - Chocolate milk</t>
  </si>
  <si>
    <t>Yves Ground Round</t>
  </si>
  <si>
    <t>Custom  Tomato Juice Sauce</t>
  </si>
  <si>
    <t>https://docs.google.com/document/d/1PRxs6Xs7Yvmvc5DqFjLCSlnrdiu3CXlk58iq9c243zs/edit?usp=drivesdk</t>
  </si>
  <si>
    <t>Fruitsations Apple Sauce - Strawberry Kiwi</t>
  </si>
  <si>
    <t>https://docs.google.com/document/d/1L5z5rlQWJcFzwWQyPAuWvqurS5D88OlXsZyL753X_qY/edit?usp=drivesdk</t>
  </si>
  <si>
    <t>https://docs.google.com/document/d/1QiVG5lw7EeSTsuedVT-HhhvYNwjuZslq1Rrm1RyEuf0/edit?usp=drivesdk</t>
  </si>
  <si>
    <t>https://docs.google.com/document/d/1SvJD0QX9KdFHwzfz4gLbrBYxFRAQlKbSLguAD0VF0Ac/edit?usp=drivesdk</t>
  </si>
  <si>
    <t>Custom  Chicken Strips</t>
  </si>
  <si>
    <t>Custom  Rice Crispies</t>
  </si>
  <si>
    <t>https://docs.google.com/document/d/1DwboVjxaSVqfkkiCekVvQGX98F4w-ajzDVKnCVkf82g/edit?usp=drivesdk</t>
  </si>
  <si>
    <t>https://docs.google.com/document/d/1iswk2A_yXtFaJ2YggQ7BlNtgyZNHl_Rl-nYeSfyAbkw/edit?usp=drivesdk</t>
  </si>
  <si>
    <t>Custom  1/2 of a Kirkland Chewy Protein Bar</t>
  </si>
  <si>
    <t>https://docs.google.com/document/d/1EggRMnuRf4z611iUeXuLoUIrRN49ASkcA8tMhh_jbX8/edit?usp=drivesdk</t>
  </si>
  <si>
    <t>Custom  celery</t>
  </si>
  <si>
    <t>Custom  cousous beef</t>
  </si>
  <si>
    <t>https://docs.google.com/document/d/11yAp_tS40htHrauwFGc7itvYLEL0PSsZL-8seIgt99Q/edit?usp=drivesdk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</si>
</sst>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"/>
    <numFmt numFmtId="165" formatCode="0.0&quot;h&quot;"/>
    <numFmt numFmtId="166" formatCode="h:mm am/pm"/>
    <numFmt numFmtId="167" formatCode="h&quot;:&quot;mm&quot; &quot;am/pm"/>
    <numFmt numFmtId="168" formatCode="mmmm&quot; &quot;d&quot;, &quot;yyyy"/>
    <numFmt numFmtId="169" formatCode="mmmm yyyy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sz val="12.0"/>
      <color theme="1"/>
      <name val="Arial"/>
      <scheme val="minor"/>
    </font>
    <font/>
    <font>
      <b/>
      <sz val="12.0"/>
      <color theme="1"/>
      <name val="Arial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Roboto"/>
    </font>
    <font>
      <b/>
      <color theme="1"/>
      <name val="Roboto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7CC"/>
        <bgColor rgb="FFFFF7CC"/>
      </patternFill>
    </fill>
    <fill>
      <patternFill patternType="solid">
        <fgColor rgb="FFF6F8F9"/>
        <bgColor rgb="FFF6F8F9"/>
      </patternFill>
    </fill>
    <fill>
      <patternFill patternType="solid">
        <fgColor rgb="FFCEFAFF"/>
        <bgColor rgb="FFCEFAFF"/>
      </patternFill>
    </fill>
    <fill>
      <patternFill patternType="solid">
        <fgColor rgb="FFE9F2FF"/>
        <bgColor rgb="FFE9F2FF"/>
      </patternFill>
    </fill>
    <fill>
      <patternFill patternType="solid">
        <fgColor rgb="FFE0F7FA"/>
        <bgColor rgb="FFE0F7FA"/>
      </patternFill>
    </fill>
    <fill>
      <patternFill patternType="solid">
        <fgColor rgb="FFC2FFEA"/>
        <bgColor rgb="FFC2FFEA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5">
    <border/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99999"/>
      </right>
      <top style="thin">
        <color rgb="FF000000"/>
      </top>
      <bottom style="thin">
        <color rgb="FF999999"/>
      </bottom>
    </border>
    <border>
      <left style="thin">
        <color rgb="FF999999"/>
      </left>
      <right style="thin">
        <color rgb="FF000000"/>
      </right>
      <top style="thin">
        <color rgb="FF000000"/>
      </top>
      <bottom style="thin">
        <color rgb="FF999999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000000"/>
      </bottom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99999"/>
      </bottom>
    </border>
    <border>
      <left style="thin">
        <color rgb="FF000000"/>
      </lef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999999"/>
      </top>
      <bottom style="thin">
        <color rgb="FF999999"/>
      </bottom>
    </border>
    <border>
      <left style="thin">
        <color rgb="FF000000"/>
      </left>
      <top style="thin">
        <color rgb="FF999999"/>
      </top>
      <bottom style="thin">
        <color rgb="FF000000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vertical="bottom"/>
    </xf>
    <xf borderId="2" fillId="0" fontId="2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 vertical="center"/>
    </xf>
    <xf borderId="3" fillId="0" fontId="2" numFmtId="0" xfId="0" applyBorder="1" applyFont="1"/>
    <xf borderId="4" fillId="3" fontId="2" numFmtId="164" xfId="0" applyAlignment="1" applyBorder="1" applyFill="1" applyFont="1" applyNumberFormat="1">
      <alignment horizontal="center" readingOrder="0" vertical="bottom"/>
    </xf>
    <xf borderId="5" fillId="0" fontId="4" numFmtId="0" xfId="0" applyAlignment="1" applyBorder="1" applyFont="1">
      <alignment horizontal="center" readingOrder="0" vertical="bottom"/>
    </xf>
    <xf borderId="6" fillId="0" fontId="5" numFmtId="0" xfId="0" applyBorder="1" applyFont="1"/>
    <xf borderId="7" fillId="0" fontId="5" numFmtId="0" xfId="0" applyBorder="1" applyFont="1"/>
    <xf borderId="5" fillId="0" fontId="6" numFmtId="0" xfId="0" applyAlignment="1" applyBorder="1" applyFont="1">
      <alignment horizontal="center" readingOrder="0" vertical="bottom"/>
    </xf>
    <xf borderId="8" fillId="2" fontId="3" numFmtId="0" xfId="0" applyAlignment="1" applyBorder="1" applyFont="1">
      <alignment vertical="bottom"/>
    </xf>
    <xf borderId="2" fillId="0" fontId="2" numFmtId="2" xfId="0" applyAlignment="1" applyBorder="1" applyFont="1" applyNumberFormat="1">
      <alignment horizontal="center" readingOrder="0" vertical="bottom"/>
    </xf>
    <xf borderId="9" fillId="0" fontId="2" numFmtId="0" xfId="0" applyBorder="1" applyFont="1"/>
    <xf borderId="10" fillId="3" fontId="2" numFmtId="164" xfId="0" applyAlignment="1" applyBorder="1" applyFont="1" applyNumberFormat="1">
      <alignment horizontal="center" readingOrder="0" vertical="bottom"/>
    </xf>
    <xf borderId="8" fillId="2" fontId="3" numFmtId="0" xfId="0" applyAlignment="1" applyBorder="1" applyFont="1">
      <alignment readingOrder="0" vertical="bottom"/>
    </xf>
    <xf borderId="7" fillId="0" fontId="2" numFmtId="165" xfId="0" applyAlignment="1" applyBorder="1" applyFont="1" applyNumberFormat="1">
      <alignment horizontal="center" readingOrder="0" vertical="bottom"/>
    </xf>
    <xf borderId="11" fillId="0" fontId="2" numFmtId="0" xfId="0" applyBorder="1" applyFont="1"/>
    <xf borderId="12" fillId="3" fontId="2" numFmtId="0" xfId="0" applyAlignment="1" applyBorder="1" applyFont="1">
      <alignment horizontal="center" readingOrder="0" vertical="bottom"/>
    </xf>
    <xf borderId="2" fillId="4" fontId="1" numFmtId="0" xfId="0" applyAlignment="1" applyBorder="1" applyFill="1" applyFont="1">
      <alignment horizontal="center" readingOrder="0" vertical="center"/>
    </xf>
    <xf borderId="2" fillId="4" fontId="2" numFmtId="0" xfId="0" applyAlignment="1" applyBorder="1" applyFont="1">
      <alignment horizontal="left" readingOrder="0"/>
    </xf>
    <xf borderId="2" fillId="4" fontId="2" numFmtId="0" xfId="0" applyAlignment="1" applyBorder="1" applyFont="1">
      <alignment horizontal="center" readingOrder="0"/>
    </xf>
    <xf borderId="2" fillId="4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horizontal="right" readingOrder="0" vertical="center"/>
    </xf>
    <xf borderId="13" fillId="3" fontId="2" numFmtId="49" xfId="0" applyAlignment="1" applyBorder="1" applyFont="1" applyNumberFormat="1">
      <alignment horizontal="center" readingOrder="0" vertical="bottom"/>
    </xf>
    <xf borderId="0" fillId="0" fontId="2" numFmtId="0" xfId="0" applyFont="1"/>
    <xf borderId="2" fillId="0" fontId="1" numFmtId="166" xfId="0" applyAlignment="1" applyBorder="1" applyFont="1" applyNumberForma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0" fontId="1" numFmtId="164" xfId="0" applyAlignment="1" applyBorder="1" applyFont="1" applyNumberFormat="1">
      <alignment horizontal="center" readingOrder="0" vertical="center"/>
    </xf>
    <xf borderId="2" fillId="0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right" readingOrder="0" vertical="center"/>
    </xf>
    <xf borderId="14" fillId="2" fontId="3" numFmtId="0" xfId="0" applyAlignment="1" applyBorder="1" applyFont="1">
      <alignment vertical="bottom"/>
    </xf>
    <xf borderId="13" fillId="5" fontId="2" numFmtId="49" xfId="0" applyAlignment="1" applyBorder="1" applyFill="1" applyFont="1" applyNumberFormat="1">
      <alignment horizontal="center" readingOrder="0" vertical="bottom"/>
    </xf>
    <xf borderId="4" fillId="6" fontId="2" numFmtId="164" xfId="0" applyAlignment="1" applyBorder="1" applyFill="1" applyFont="1" applyNumberFormat="1">
      <alignment horizontal="center" readingOrder="0"/>
    </xf>
    <xf borderId="0" fillId="0" fontId="2" numFmtId="0" xfId="0" applyAlignment="1" applyFont="1">
      <alignment horizontal="center" vertical="bottom"/>
    </xf>
    <xf borderId="12" fillId="6" fontId="2" numFmtId="164" xfId="0" applyAlignment="1" applyBorder="1" applyFont="1" applyNumberFormat="1">
      <alignment horizontal="center" readingOrder="0"/>
    </xf>
    <xf borderId="15" fillId="0" fontId="2" numFmtId="164" xfId="0" applyAlignment="1" applyBorder="1" applyFont="1" applyNumberFormat="1">
      <alignment horizontal="right" readingOrder="0" vertical="center"/>
    </xf>
    <xf borderId="11" fillId="0" fontId="2" numFmtId="0" xfId="0" applyBorder="1" applyFont="1"/>
    <xf borderId="16" fillId="0" fontId="2" numFmtId="0" xfId="0" applyAlignment="1" applyBorder="1" applyFont="1">
      <alignment horizontal="right" readingOrder="0" vertical="center"/>
    </xf>
    <xf borderId="0" fillId="0" fontId="2" numFmtId="2" xfId="0" applyAlignment="1" applyFont="1" applyNumberFormat="1">
      <alignment readingOrder="0"/>
    </xf>
    <xf borderId="2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/>
    </xf>
    <xf borderId="17" fillId="0" fontId="2" numFmtId="0" xfId="0" applyAlignment="1" applyBorder="1" applyFont="1">
      <alignment horizontal="right" readingOrder="0" vertical="center"/>
    </xf>
    <xf borderId="0" fillId="0" fontId="4" numFmtId="0" xfId="0" applyAlignment="1" applyFont="1">
      <alignment readingOrder="0" vertical="center"/>
    </xf>
    <xf borderId="4" fillId="7" fontId="2" numFmtId="2" xfId="0" applyAlignment="1" applyBorder="1" applyFill="1" applyFont="1" applyNumberFormat="1">
      <alignment horizontal="center" readingOrder="0"/>
    </xf>
    <xf borderId="2" fillId="0" fontId="2" numFmtId="0" xfId="0" applyAlignment="1" applyBorder="1" applyFont="1">
      <alignment horizontal="left"/>
    </xf>
    <xf borderId="2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/>
    </xf>
    <xf borderId="12" fillId="7" fontId="2" numFmtId="164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left" vertical="bottom"/>
    </xf>
    <xf borderId="2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readingOrder="0"/>
    </xf>
    <xf borderId="0" fillId="0" fontId="2" numFmtId="2" xfId="0" applyAlignment="1" applyFont="1" applyNumberFormat="1">
      <alignment horizontal="center" vertical="bottom"/>
    </xf>
    <xf borderId="15" fillId="0" fontId="7" numFmtId="0" xfId="0" applyAlignment="1" applyBorder="1" applyFont="1">
      <alignment horizontal="center" readingOrder="0" vertical="center"/>
    </xf>
    <xf borderId="15" fillId="7" fontId="4" numFmtId="2" xfId="0" applyAlignment="1" applyBorder="1" applyFont="1" applyNumberFormat="1">
      <alignment horizontal="center" readingOrder="0" vertical="center"/>
    </xf>
    <xf borderId="17" fillId="0" fontId="5" numFmtId="0" xfId="0" applyBorder="1" applyFont="1"/>
    <xf borderId="0" fillId="0" fontId="1" numFmtId="0" xfId="0" applyFont="1"/>
    <xf borderId="18" fillId="0" fontId="1" numFmtId="0" xfId="0" applyAlignment="1" applyBorder="1" applyFont="1">
      <alignment readingOrder="0"/>
    </xf>
    <xf borderId="19" fillId="4" fontId="1" numFmtId="167" xfId="0" applyAlignment="1" applyBorder="1" applyFont="1" applyNumberFormat="1">
      <alignment horizontal="center" readingOrder="0"/>
    </xf>
    <xf borderId="20" fillId="0" fontId="1" numFmtId="0" xfId="0" applyAlignment="1" applyBorder="1" applyFont="1">
      <alignment readingOrder="0"/>
    </xf>
    <xf borderId="21" fillId="4" fontId="1" numFmtId="167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center" vertical="bottom"/>
    </xf>
    <xf borderId="22" fillId="0" fontId="1" numFmtId="0" xfId="0" applyAlignment="1" applyBorder="1" applyFont="1">
      <alignment readingOrder="0"/>
    </xf>
    <xf borderId="12" fillId="4" fontId="1" numFmtId="0" xfId="0" applyAlignment="1" applyBorder="1" applyFont="1">
      <alignment horizontal="center"/>
    </xf>
    <xf borderId="0" fillId="0" fontId="1" numFmtId="19" xfId="0" applyAlignment="1" applyFont="1" applyNumberFormat="1">
      <alignment readingOrder="0"/>
    </xf>
    <xf borderId="0" fillId="0" fontId="1" numFmtId="0" xfId="0" applyAlignment="1" applyFont="1">
      <alignment horizontal="center"/>
    </xf>
    <xf borderId="23" fillId="4" fontId="8" numFmtId="0" xfId="0" applyAlignment="1" applyBorder="1" applyFont="1">
      <alignment horizontal="center" readingOrder="0" vertical="center"/>
    </xf>
    <xf borderId="24" fillId="0" fontId="5" numFmtId="0" xfId="0" applyBorder="1" applyFont="1"/>
    <xf borderId="23" fillId="0" fontId="2" numFmtId="0" xfId="0" applyAlignment="1" applyBorder="1" applyFont="1">
      <alignment readingOrder="0" vertical="bottom"/>
    </xf>
    <xf borderId="23" fillId="0" fontId="1" numFmtId="0" xfId="0" applyAlignment="1" applyBorder="1" applyFont="1">
      <alignment horizontal="left" readingOrder="0" vertical="bottom"/>
    </xf>
    <xf borderId="0" fillId="0" fontId="1" numFmtId="0" xfId="0" applyAlignment="1" applyFont="1">
      <alignment vertical="top"/>
    </xf>
    <xf borderId="0" fillId="0" fontId="2" numFmtId="0" xfId="0" applyAlignment="1" applyFont="1">
      <alignment horizontal="left" vertical="bottom"/>
    </xf>
    <xf borderId="0" fillId="0" fontId="1" numFmtId="0" xfId="0" applyAlignment="1" applyFont="1">
      <alignment horizontal="left"/>
    </xf>
    <xf borderId="2" fillId="0" fontId="2" numFmtId="0" xfId="0" applyAlignment="1" applyBorder="1" applyFont="1">
      <alignment horizontal="left" readingOrder="0" vertical="bottom"/>
    </xf>
    <xf borderId="2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 vertical="bottom"/>
    </xf>
    <xf borderId="17" fillId="0" fontId="2" numFmtId="0" xfId="0" applyAlignment="1" applyBorder="1" applyFont="1">
      <alignment horizontal="right" readingOrder="0" vertical="center"/>
    </xf>
    <xf borderId="0" fillId="0" fontId="9" numFmtId="0" xfId="0" applyAlignment="1" applyFont="1">
      <alignment horizontal="center" readingOrder="0" shrinkToFit="0" vertical="center" wrapText="0"/>
    </xf>
    <xf borderId="0" fillId="0" fontId="9" numFmtId="2" xfId="0" applyAlignment="1" applyFont="1" applyNumberFormat="1">
      <alignment horizontal="center" readingOrder="0" shrinkToFit="0" vertical="center" wrapText="0"/>
    </xf>
    <xf borderId="0" fillId="0" fontId="9" numFmtId="0" xfId="0" applyFont="1"/>
    <xf borderId="2" fillId="0" fontId="9" numFmtId="0" xfId="0" applyAlignment="1" applyBorder="1" applyFont="1">
      <alignment readingOrder="0" shrinkToFit="0" vertical="center" wrapText="0"/>
    </xf>
    <xf borderId="2" fillId="0" fontId="9" numFmtId="2" xfId="0" applyAlignment="1" applyBorder="1" applyFont="1" applyNumberFormat="1">
      <alignment readingOrder="0" shrinkToFit="0" vertical="center" wrapText="0"/>
    </xf>
    <xf borderId="2" fillId="0" fontId="9" numFmtId="164" xfId="0" applyAlignment="1" applyBorder="1" applyFont="1" applyNumberFormat="1">
      <alignment horizontal="center" readingOrder="0" shrinkToFit="0" vertical="center" wrapText="0"/>
    </xf>
    <xf borderId="0" fillId="0" fontId="10" numFmtId="0" xfId="0" applyFont="1"/>
    <xf borderId="2" fillId="0" fontId="9" numFmtId="0" xfId="0" applyAlignment="1" applyBorder="1" applyFont="1">
      <alignment readingOrder="0" shrinkToFit="0" vertical="center" wrapText="0"/>
    </xf>
    <xf borderId="2" fillId="0" fontId="9" numFmtId="2" xfId="0" applyAlignment="1" applyBorder="1" applyFont="1" applyNumberFormat="1">
      <alignment shrinkToFit="0" vertical="center" wrapText="0"/>
    </xf>
    <xf borderId="2" fillId="0" fontId="9" numFmtId="0" xfId="0" applyAlignment="1" applyBorder="1" applyFont="1">
      <alignment shrinkToFit="0" vertical="center" wrapText="0"/>
    </xf>
    <xf borderId="2" fillId="0" fontId="9" numFmtId="2" xfId="0" applyAlignment="1" applyBorder="1" applyFont="1" applyNumberFormat="1">
      <alignment readingOrder="0" shrinkToFit="0" vertical="center" wrapText="0"/>
    </xf>
    <xf borderId="2" fillId="0" fontId="9" numFmtId="0" xfId="0" applyAlignment="1" applyBorder="1" applyFont="1">
      <alignment readingOrder="0" shrinkToFit="0" vertical="bottom" wrapText="0"/>
    </xf>
    <xf borderId="2" fillId="0" fontId="9" numFmtId="2" xfId="0" applyAlignment="1" applyBorder="1" applyFont="1" applyNumberFormat="1">
      <alignment readingOrder="0" shrinkToFit="0" vertical="bottom" wrapText="0"/>
    </xf>
    <xf borderId="2" fillId="8" fontId="9" numFmtId="0" xfId="0" applyAlignment="1" applyBorder="1" applyFill="1" applyFont="1">
      <alignment readingOrder="0" shrinkToFit="0" vertical="center" wrapText="0"/>
    </xf>
    <xf borderId="2" fillId="8" fontId="9" numFmtId="2" xfId="0" applyAlignment="1" applyBorder="1" applyFont="1" applyNumberFormat="1">
      <alignment readingOrder="0" shrinkToFit="0" vertical="center" wrapText="0"/>
    </xf>
    <xf borderId="2" fillId="9" fontId="9" numFmtId="0" xfId="0" applyAlignment="1" applyBorder="1" applyFill="1" applyFont="1">
      <alignment readingOrder="0" shrinkToFit="0" vertical="center" wrapText="0"/>
    </xf>
    <xf borderId="2" fillId="9" fontId="9" numFmtId="2" xfId="0" applyAlignment="1" applyBorder="1" applyFont="1" applyNumberFormat="1">
      <alignment readingOrder="0" shrinkToFit="0" vertical="center" wrapText="0"/>
    </xf>
    <xf borderId="2" fillId="8" fontId="9" numFmtId="0" xfId="0" applyAlignment="1" applyBorder="1" applyFont="1">
      <alignment shrinkToFit="0" vertical="center" wrapText="0"/>
    </xf>
    <xf borderId="2" fillId="8" fontId="9" numFmtId="2" xfId="0" applyAlignment="1" applyBorder="1" applyFont="1" applyNumberFormat="1">
      <alignment shrinkToFit="0" vertical="center" wrapText="0"/>
    </xf>
    <xf borderId="2" fillId="9" fontId="9" numFmtId="0" xfId="0" applyAlignment="1" applyBorder="1" applyFont="1">
      <alignment shrinkToFit="0" vertical="center" wrapText="0"/>
    </xf>
    <xf borderId="2" fillId="9" fontId="9" numFmtId="2" xfId="0" applyAlignment="1" applyBorder="1" applyFont="1" applyNumberFormat="1">
      <alignment shrinkToFit="0" vertical="center" wrapText="0"/>
    </xf>
    <xf borderId="2" fillId="0" fontId="9" numFmtId="0" xfId="0" applyAlignment="1" applyBorder="1" applyFont="1">
      <alignment shrinkToFit="0" vertical="center" wrapText="0"/>
    </xf>
    <xf borderId="2" fillId="0" fontId="9" numFmtId="2" xfId="0" applyAlignment="1" applyBorder="1" applyFont="1" applyNumberFormat="1">
      <alignment shrinkToFit="0" vertical="center" wrapText="0"/>
    </xf>
    <xf borderId="2" fillId="4" fontId="9" numFmtId="0" xfId="0" applyAlignment="1" applyBorder="1" applyFont="1">
      <alignment shrinkToFit="0" vertical="center" wrapText="0"/>
    </xf>
    <xf borderId="2" fillId="4" fontId="9" numFmtId="2" xfId="0" applyAlignment="1" applyBorder="1" applyFont="1" applyNumberFormat="1">
      <alignment shrinkToFit="0" vertical="center" wrapText="0"/>
    </xf>
    <xf borderId="2" fillId="4" fontId="9" numFmtId="164" xfId="0" applyAlignment="1" applyBorder="1" applyFont="1" applyNumberFormat="1">
      <alignment horizontal="center" shrinkToFit="0" vertical="center" wrapText="0"/>
    </xf>
    <xf borderId="2" fillId="9" fontId="9" numFmtId="164" xfId="0" applyAlignment="1" applyBorder="1" applyFont="1" applyNumberFormat="1">
      <alignment horizontal="center" shrinkToFit="0" vertical="center" wrapText="0"/>
    </xf>
    <xf borderId="0" fillId="10" fontId="8" numFmtId="0" xfId="0" applyAlignment="1" applyFill="1" applyFont="1">
      <alignment readingOrder="0"/>
    </xf>
    <xf borderId="0" fillId="0" fontId="1" numFmtId="0" xfId="0" applyFont="1"/>
    <xf borderId="0" fillId="0" fontId="1" numFmtId="168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1" numFmtId="168" xfId="0" applyFont="1" applyNumberFormat="1"/>
    <xf borderId="0" fillId="0" fontId="1" numFmtId="169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ood Cha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000" displayName="Table1" name="Table1" id="1">
  <tableColumns count="3">
    <tableColumn name="Food" id="1"/>
    <tableColumn name="Carb Factor" id="2"/>
    <tableColumn name="Absorption Rate (hours)" id="3"/>
  </tableColumns>
  <tableStyleInfo name="Food Cha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90" Type="http://schemas.openxmlformats.org/officeDocument/2006/relationships/hyperlink" Target="https://docs.google.com/open?id=11ZeB8PsVs48w9YMFxUppSZ4ow6LSHaZPvNZLuq1JbNo" TargetMode="External"/><Relationship Id="rId194" Type="http://schemas.openxmlformats.org/officeDocument/2006/relationships/hyperlink" Target="https://docs.google.com/open?id=11ZeB8PsVs48w9YMFxUppSZ4ow6LSHaZPvNZLuq1JbNo" TargetMode="External"/><Relationship Id="rId193" Type="http://schemas.openxmlformats.org/officeDocument/2006/relationships/hyperlink" Target="https://docs.google.com/open?id=11ZeB8PsVs48w9YMFxUppSZ4ow6LSHaZPvNZLuq1JbNo" TargetMode="External"/><Relationship Id="rId192" Type="http://schemas.openxmlformats.org/officeDocument/2006/relationships/hyperlink" Target="https://docs.google.com/open?id=11ZeB8PsVs48w9YMFxUppSZ4ow6LSHaZPvNZLuq1JbNo" TargetMode="External"/><Relationship Id="rId191" Type="http://schemas.openxmlformats.org/officeDocument/2006/relationships/hyperlink" Target="https://docs.google.com/open?id=11ZeB8PsVs48w9YMFxUppSZ4ow6LSHaZPvNZLuq1JbNo" TargetMode="External"/><Relationship Id="rId187" Type="http://schemas.openxmlformats.org/officeDocument/2006/relationships/hyperlink" Target="https://docs.google.com/open?id=11ZeB8PsVs48w9YMFxUppSZ4ow6LSHaZPvNZLuq1JbNo" TargetMode="External"/><Relationship Id="rId186" Type="http://schemas.openxmlformats.org/officeDocument/2006/relationships/hyperlink" Target="https://docs.google.com/open?id=11ZeB8PsVs48w9YMFxUppSZ4ow6LSHaZPvNZLuq1JbNo" TargetMode="External"/><Relationship Id="rId185" Type="http://schemas.openxmlformats.org/officeDocument/2006/relationships/hyperlink" Target="https://docs.google.com/open?id=11RCR-ICjnGrOvbfl-eNUHVrqDYVTU5Y0LLfZtRfHMCk" TargetMode="External"/><Relationship Id="rId184" Type="http://schemas.openxmlformats.org/officeDocument/2006/relationships/hyperlink" Target="https://docs.google.com/open?id=11RCR-ICjnGrOvbfl-eNUHVrqDYVTU5Y0LLfZtRfHMCk" TargetMode="External"/><Relationship Id="rId189" Type="http://schemas.openxmlformats.org/officeDocument/2006/relationships/hyperlink" Target="https://docs.google.com/open?id=11ZeB8PsVs48w9YMFxUppSZ4ow6LSHaZPvNZLuq1JbNo" TargetMode="External"/><Relationship Id="rId188" Type="http://schemas.openxmlformats.org/officeDocument/2006/relationships/hyperlink" Target="https://docs.google.com/open?id=11ZeB8PsVs48w9YMFxUppSZ4ow6LSHaZPvNZLuq1JbNo" TargetMode="External"/><Relationship Id="rId183" Type="http://schemas.openxmlformats.org/officeDocument/2006/relationships/hyperlink" Target="https://docs.google.com/open?id=11RCR-ICjnGrOvbfl-eNUHVrqDYVTU5Y0LLfZtRfHMCk" TargetMode="External"/><Relationship Id="rId182" Type="http://schemas.openxmlformats.org/officeDocument/2006/relationships/hyperlink" Target="https://docs.google.com/open?id=11RCR-ICjnGrOvbfl-eNUHVrqDYVTU5Y0LLfZtRfHMCk" TargetMode="External"/><Relationship Id="rId181" Type="http://schemas.openxmlformats.org/officeDocument/2006/relationships/hyperlink" Target="https://docs.google.com/open?id=11RCR-ICjnGrOvbfl-eNUHVrqDYVTU5Y0LLfZtRfHMCk" TargetMode="External"/><Relationship Id="rId180" Type="http://schemas.openxmlformats.org/officeDocument/2006/relationships/hyperlink" Target="https://docs.google.com/open?id=11RCR-ICjnGrOvbfl-eNUHVrqDYVTU5Y0LLfZtRfHMCk" TargetMode="External"/><Relationship Id="rId176" Type="http://schemas.openxmlformats.org/officeDocument/2006/relationships/hyperlink" Target="https://docs.google.com/open?id=11RCR-ICjnGrOvbfl-eNUHVrqDYVTU5Y0LLfZtRfHMCk" TargetMode="External"/><Relationship Id="rId175" Type="http://schemas.openxmlformats.org/officeDocument/2006/relationships/hyperlink" Target="https://docs.google.com/open?id=11RCR-ICjnGrOvbfl-eNUHVrqDYVTU5Y0LLfZtRfHMCk" TargetMode="External"/><Relationship Id="rId174" Type="http://schemas.openxmlformats.org/officeDocument/2006/relationships/hyperlink" Target="https://docs.google.com/open?id=11RCR-ICjnGrOvbfl-eNUHVrqDYVTU5Y0LLfZtRfHMCk" TargetMode="External"/><Relationship Id="rId173" Type="http://schemas.openxmlformats.org/officeDocument/2006/relationships/hyperlink" Target="https://docs.google.com/open?id=11RCR-ICjnGrOvbfl-eNUHVrqDYVTU5Y0LLfZtRfHMCk" TargetMode="External"/><Relationship Id="rId179" Type="http://schemas.openxmlformats.org/officeDocument/2006/relationships/hyperlink" Target="https://docs.google.com/open?id=11RCR-ICjnGrOvbfl-eNUHVrqDYVTU5Y0LLfZtRfHMCk" TargetMode="External"/><Relationship Id="rId178" Type="http://schemas.openxmlformats.org/officeDocument/2006/relationships/hyperlink" Target="https://docs.google.com/open?id=11RCR-ICjnGrOvbfl-eNUHVrqDYVTU5Y0LLfZtRfHMCk" TargetMode="External"/><Relationship Id="rId177" Type="http://schemas.openxmlformats.org/officeDocument/2006/relationships/hyperlink" Target="https://docs.google.com/open?id=11RCR-ICjnGrOvbfl-eNUHVrqDYVTU5Y0LLfZtRfHMCk" TargetMode="External"/><Relationship Id="rId198" Type="http://schemas.openxmlformats.org/officeDocument/2006/relationships/hyperlink" Target="https://docs.google.com/document/d/1VtytLEKEVBtJDMXGaswdFmkQF5hzCCR6WDyg1_ppG4w/edit?usp=drivesdk" TargetMode="External"/><Relationship Id="rId197" Type="http://schemas.openxmlformats.org/officeDocument/2006/relationships/hyperlink" Target="https://docs.google.com/document/d/1VtytLEKEVBtJDMXGaswdFmkQF5hzCCR6WDyg1_ppG4w/edit?usp=drivesdk" TargetMode="External"/><Relationship Id="rId196" Type="http://schemas.openxmlformats.org/officeDocument/2006/relationships/hyperlink" Target="https://docs.google.com/document/d/1VtytLEKEVBtJDMXGaswdFmkQF5hzCCR6WDyg1_ppG4w/edit?usp=drivesdk" TargetMode="External"/><Relationship Id="rId195" Type="http://schemas.openxmlformats.org/officeDocument/2006/relationships/hyperlink" Target="https://docs.google.com/open?id=11ZeB8PsVs48w9YMFxUppSZ4ow6LSHaZPvNZLuq1JbNo" TargetMode="External"/><Relationship Id="rId199" Type="http://schemas.openxmlformats.org/officeDocument/2006/relationships/hyperlink" Target="https://docs.google.com/document/d/1VtytLEKEVBtJDMXGaswdFmkQF5hzCCR6WDyg1_ppG4w/edit?usp=drivesdk" TargetMode="External"/><Relationship Id="rId150" Type="http://schemas.openxmlformats.org/officeDocument/2006/relationships/hyperlink" Target="https://docs.google.com/open?id=1nszvb9okTDe1oHmfXESj2bAi0TjFNbvwfU8UkOqBLtA" TargetMode="External"/><Relationship Id="rId392" Type="http://schemas.openxmlformats.org/officeDocument/2006/relationships/hyperlink" Target="https://docs.google.com/document/d/1h9WQxFVohNuBfVUELtiJb1fMQHcVm5NWB2DtCBr3yrI/edit?usp=drivesdk" TargetMode="External"/><Relationship Id="rId391" Type="http://schemas.openxmlformats.org/officeDocument/2006/relationships/hyperlink" Target="https://docs.google.com/document/d/1h9WQxFVohNuBfVUELtiJb1fMQHcVm5NWB2DtCBr3yrI/edit?usp=drivesdk" TargetMode="External"/><Relationship Id="rId390" Type="http://schemas.openxmlformats.org/officeDocument/2006/relationships/hyperlink" Target="https://docs.google.com/document/d/1h9WQxFVohNuBfVUELtiJb1fMQHcVm5NWB2DtCBr3yrI/edit?usp=drivesdk" TargetMode="External"/><Relationship Id="rId1" Type="http://schemas.openxmlformats.org/officeDocument/2006/relationships/hyperlink" Target="https://docs.google.com/open?id=1o9L2lTrBDlbyB_v9oW9OkkSzVIujkvkuoJLiFUHhdZA" TargetMode="External"/><Relationship Id="rId2" Type="http://schemas.openxmlformats.org/officeDocument/2006/relationships/hyperlink" Target="https://docs.google.com/open?id=1o9L2lTrBDlbyB_v9oW9OkkSzVIujkvkuoJLiFUHhdZA" TargetMode="External"/><Relationship Id="rId3" Type="http://schemas.openxmlformats.org/officeDocument/2006/relationships/hyperlink" Target="https://docs.google.com/open?id=1o9L2lTrBDlbyB_v9oW9OkkSzVIujkvkuoJLiFUHhdZA" TargetMode="External"/><Relationship Id="rId149" Type="http://schemas.openxmlformats.org/officeDocument/2006/relationships/hyperlink" Target="https://docs.google.com/open?id=1nszvb9okTDe1oHmfXESj2bAi0TjFNbvwfU8UkOqBLtA" TargetMode="External"/><Relationship Id="rId4" Type="http://schemas.openxmlformats.org/officeDocument/2006/relationships/hyperlink" Target="https://docs.google.com/open?id=1o9L2lTrBDlbyB_v9oW9OkkSzVIujkvkuoJLiFUHhdZA" TargetMode="External"/><Relationship Id="rId148" Type="http://schemas.openxmlformats.org/officeDocument/2006/relationships/hyperlink" Target="https://docs.google.com/open?id=1nszvb9okTDe1oHmfXESj2bAi0TjFNbvwfU8UkOqBLtA" TargetMode="External"/><Relationship Id="rId1090" Type="http://schemas.openxmlformats.org/officeDocument/2006/relationships/hyperlink" Target="https://docs.google.com/document/d/1xO0zSbJ66Xh8ESVO1JbsmCh5DmH2ce7xOY0OoyTYl_4/edit?usp=drivesdk" TargetMode="External"/><Relationship Id="rId1091" Type="http://schemas.openxmlformats.org/officeDocument/2006/relationships/hyperlink" Target="https://docs.google.com/document/d/1xO0zSbJ66Xh8ESVO1JbsmCh5DmH2ce7xOY0OoyTYl_4/edit?usp=drivesdk" TargetMode="External"/><Relationship Id="rId1092" Type="http://schemas.openxmlformats.org/officeDocument/2006/relationships/hyperlink" Target="https://docs.google.com/document/d/1xO0zSbJ66Xh8ESVO1JbsmCh5DmH2ce7xOY0OoyTYl_4/edit?usp=drivesdk" TargetMode="External"/><Relationship Id="rId1093" Type="http://schemas.openxmlformats.org/officeDocument/2006/relationships/hyperlink" Target="https://docs.google.com/document/d/1xO0zSbJ66Xh8ESVO1JbsmCh5DmH2ce7xOY0OoyTYl_4/edit?usp=drivesdk" TargetMode="External"/><Relationship Id="rId1094" Type="http://schemas.openxmlformats.org/officeDocument/2006/relationships/hyperlink" Target="https://docs.google.com/document/d/1xO0zSbJ66Xh8ESVO1JbsmCh5DmH2ce7xOY0OoyTYl_4/edit?usp=drivesdk" TargetMode="External"/><Relationship Id="rId9" Type="http://schemas.openxmlformats.org/officeDocument/2006/relationships/hyperlink" Target="https://docs.google.com/open?id=1o9L2lTrBDlbyB_v9oW9OkkSzVIujkvkuoJLiFUHhdZA" TargetMode="External"/><Relationship Id="rId143" Type="http://schemas.openxmlformats.org/officeDocument/2006/relationships/hyperlink" Target="https://docs.google.com/open?id=1nszvb9okTDe1oHmfXESj2bAi0TjFNbvwfU8UkOqBLtA" TargetMode="External"/><Relationship Id="rId385" Type="http://schemas.openxmlformats.org/officeDocument/2006/relationships/hyperlink" Target="https://docs.google.com/document/d/1h9WQxFVohNuBfVUELtiJb1fMQHcVm5NWB2DtCBr3yrI/edit?usp=drivesdk" TargetMode="External"/><Relationship Id="rId1095" Type="http://schemas.openxmlformats.org/officeDocument/2006/relationships/hyperlink" Target="https://docs.google.com/document/d/1xO0zSbJ66Xh8ESVO1JbsmCh5DmH2ce7xOY0OoyTYl_4/edit?usp=drivesdk" TargetMode="External"/><Relationship Id="rId142" Type="http://schemas.openxmlformats.org/officeDocument/2006/relationships/hyperlink" Target="https://docs.google.com/open?id=1b5EBsjnO8xq11562TfC0EcteDBoMzqi58ctXnoBMLek" TargetMode="External"/><Relationship Id="rId384" Type="http://schemas.openxmlformats.org/officeDocument/2006/relationships/hyperlink" Target="https://docs.google.com/document/d/1h9WQxFVohNuBfVUELtiJb1fMQHcVm5NWB2DtCBr3yrI/edit?usp=drivesdk" TargetMode="External"/><Relationship Id="rId1096" Type="http://schemas.openxmlformats.org/officeDocument/2006/relationships/hyperlink" Target="https://docs.google.com/document/d/1xO0zSbJ66Xh8ESVO1JbsmCh5DmH2ce7xOY0OoyTYl_4/edit?usp=drivesdk" TargetMode="External"/><Relationship Id="rId141" Type="http://schemas.openxmlformats.org/officeDocument/2006/relationships/hyperlink" Target="https://docs.google.com/open?id=1b5EBsjnO8xq11562TfC0EcteDBoMzqi58ctXnoBMLek" TargetMode="External"/><Relationship Id="rId383" Type="http://schemas.openxmlformats.org/officeDocument/2006/relationships/hyperlink" Target="https://docs.google.com/document/d/1h9WQxFVohNuBfVUELtiJb1fMQHcVm5NWB2DtCBr3yrI/edit?usp=drivesdk" TargetMode="External"/><Relationship Id="rId1097" Type="http://schemas.openxmlformats.org/officeDocument/2006/relationships/hyperlink" Target="https://docs.google.com/document/d/1xO0zSbJ66Xh8ESVO1JbsmCh5DmH2ce7xOY0OoyTYl_4/edit?usp=drivesdk" TargetMode="External"/><Relationship Id="rId140" Type="http://schemas.openxmlformats.org/officeDocument/2006/relationships/hyperlink" Target="https://docs.google.com/open?id=1b5EBsjnO8xq11562TfC0EcteDBoMzqi58ctXnoBMLek" TargetMode="External"/><Relationship Id="rId382" Type="http://schemas.openxmlformats.org/officeDocument/2006/relationships/hyperlink" Target="https://docs.google.com/document/d/1h9WQxFVohNuBfVUELtiJb1fMQHcVm5NWB2DtCBr3yrI/edit?usp=drivesdk" TargetMode="External"/><Relationship Id="rId1098" Type="http://schemas.openxmlformats.org/officeDocument/2006/relationships/hyperlink" Target="https://docs.google.com/document/d/1xO0zSbJ66Xh8ESVO1JbsmCh5DmH2ce7xOY0OoyTYl_4/edit?usp=drivesdk" TargetMode="External"/><Relationship Id="rId5" Type="http://schemas.openxmlformats.org/officeDocument/2006/relationships/hyperlink" Target="https://docs.google.com/open?id=1o9L2lTrBDlbyB_v9oW9OkkSzVIujkvkuoJLiFUHhdZA" TargetMode="External"/><Relationship Id="rId147" Type="http://schemas.openxmlformats.org/officeDocument/2006/relationships/hyperlink" Target="https://docs.google.com/open?id=1nszvb9okTDe1oHmfXESj2bAi0TjFNbvwfU8UkOqBLtA" TargetMode="External"/><Relationship Id="rId389" Type="http://schemas.openxmlformats.org/officeDocument/2006/relationships/hyperlink" Target="https://docs.google.com/document/d/1h9WQxFVohNuBfVUELtiJb1fMQHcVm5NWB2DtCBr3yrI/edit?usp=drivesdk" TargetMode="External"/><Relationship Id="rId1099" Type="http://schemas.openxmlformats.org/officeDocument/2006/relationships/hyperlink" Target="https://docs.google.com/document/d/1xO0zSbJ66Xh8ESVO1JbsmCh5DmH2ce7xOY0OoyTYl_4/edit?usp=drivesdk" TargetMode="External"/><Relationship Id="rId6" Type="http://schemas.openxmlformats.org/officeDocument/2006/relationships/hyperlink" Target="https://docs.google.com/open?id=1o9L2lTrBDlbyB_v9oW9OkkSzVIujkvkuoJLiFUHhdZA" TargetMode="External"/><Relationship Id="rId146" Type="http://schemas.openxmlformats.org/officeDocument/2006/relationships/hyperlink" Target="https://docs.google.com/open?id=1nszvb9okTDe1oHmfXESj2bAi0TjFNbvwfU8UkOqBLtA" TargetMode="External"/><Relationship Id="rId388" Type="http://schemas.openxmlformats.org/officeDocument/2006/relationships/hyperlink" Target="https://docs.google.com/document/d/1h9WQxFVohNuBfVUELtiJb1fMQHcVm5NWB2DtCBr3yrI/edit?usp=drivesdk" TargetMode="External"/><Relationship Id="rId7" Type="http://schemas.openxmlformats.org/officeDocument/2006/relationships/hyperlink" Target="https://docs.google.com/open?id=1o9L2lTrBDlbyB_v9oW9OkkSzVIujkvkuoJLiFUHhdZA" TargetMode="External"/><Relationship Id="rId145" Type="http://schemas.openxmlformats.org/officeDocument/2006/relationships/hyperlink" Target="https://docs.google.com/open?id=1nszvb9okTDe1oHmfXESj2bAi0TjFNbvwfU8UkOqBLtA" TargetMode="External"/><Relationship Id="rId387" Type="http://schemas.openxmlformats.org/officeDocument/2006/relationships/hyperlink" Target="https://docs.google.com/document/d/1h9WQxFVohNuBfVUELtiJb1fMQHcVm5NWB2DtCBr3yrI/edit?usp=drivesdk" TargetMode="External"/><Relationship Id="rId8" Type="http://schemas.openxmlformats.org/officeDocument/2006/relationships/hyperlink" Target="https://docs.google.com/open?id=1o9L2lTrBDlbyB_v9oW9OkkSzVIujkvkuoJLiFUHhdZA" TargetMode="External"/><Relationship Id="rId144" Type="http://schemas.openxmlformats.org/officeDocument/2006/relationships/hyperlink" Target="https://docs.google.com/open?id=1nszvb9okTDe1oHmfXESj2bAi0TjFNbvwfU8UkOqBLtA" TargetMode="External"/><Relationship Id="rId386" Type="http://schemas.openxmlformats.org/officeDocument/2006/relationships/hyperlink" Target="https://docs.google.com/document/d/1h9WQxFVohNuBfVUELtiJb1fMQHcVm5NWB2DtCBr3yrI/edit?usp=drivesdk" TargetMode="External"/><Relationship Id="rId381" Type="http://schemas.openxmlformats.org/officeDocument/2006/relationships/hyperlink" Target="https://docs.google.com/document/d/1z4SQa8KXtKJP2Tc-OXM_wa40FTTT3xvrp_y_QSBL8vM/edit?usp=drivesdk" TargetMode="External"/><Relationship Id="rId380" Type="http://schemas.openxmlformats.org/officeDocument/2006/relationships/hyperlink" Target="https://docs.google.com/document/d/1z4SQa8KXtKJP2Tc-OXM_wa40FTTT3xvrp_y_QSBL8vM/edit?usp=drivesdk" TargetMode="External"/><Relationship Id="rId139" Type="http://schemas.openxmlformats.org/officeDocument/2006/relationships/hyperlink" Target="https://docs.google.com/open?id=1b5EBsjnO8xq11562TfC0EcteDBoMzqi58ctXnoBMLek" TargetMode="External"/><Relationship Id="rId138" Type="http://schemas.openxmlformats.org/officeDocument/2006/relationships/hyperlink" Target="https://docs.google.com/open?id=1b5EBsjnO8xq11562TfC0EcteDBoMzqi58ctXnoBMLek" TargetMode="External"/><Relationship Id="rId137" Type="http://schemas.openxmlformats.org/officeDocument/2006/relationships/hyperlink" Target="https://docs.google.com/open?id=1b5EBsjnO8xq11562TfC0EcteDBoMzqi58ctXnoBMLek" TargetMode="External"/><Relationship Id="rId379" Type="http://schemas.openxmlformats.org/officeDocument/2006/relationships/hyperlink" Target="https://docs.google.com/document/d/1z4SQa8KXtKJP2Tc-OXM_wa40FTTT3xvrp_y_QSBL8vM/edit?usp=drivesdk" TargetMode="External"/><Relationship Id="rId1080" Type="http://schemas.openxmlformats.org/officeDocument/2006/relationships/hyperlink" Target="https://docs.google.com/document/d/1L9R--CWPe4BgHyowBoq-FNP2EQ-ZxuGhStCuj_fXoyk/edit?usp=drivesdk" TargetMode="External"/><Relationship Id="rId1081" Type="http://schemas.openxmlformats.org/officeDocument/2006/relationships/hyperlink" Target="https://docs.google.com/document/d/1L9R--CWPe4BgHyowBoq-FNP2EQ-ZxuGhStCuj_fXoyk/edit?usp=drivesdk" TargetMode="External"/><Relationship Id="rId1082" Type="http://schemas.openxmlformats.org/officeDocument/2006/relationships/hyperlink" Target="https://docs.google.com/document/d/1L9R--CWPe4BgHyowBoq-FNP2EQ-ZxuGhStCuj_fXoyk/edit?usp=drivesdk" TargetMode="External"/><Relationship Id="rId1083" Type="http://schemas.openxmlformats.org/officeDocument/2006/relationships/hyperlink" Target="https://docs.google.com/document/d/1L9R--CWPe4BgHyowBoq-FNP2EQ-ZxuGhStCuj_fXoyk/edit?usp=drivesdk" TargetMode="External"/><Relationship Id="rId132" Type="http://schemas.openxmlformats.org/officeDocument/2006/relationships/hyperlink" Target="https://docs.google.com/open?id=1b5EBsjnO8xq11562TfC0EcteDBoMzqi58ctXnoBMLek" TargetMode="External"/><Relationship Id="rId374" Type="http://schemas.openxmlformats.org/officeDocument/2006/relationships/hyperlink" Target="https://docs.google.com/document/d/1NnZ5QULpRRFVoArqk6Vb_8ANfczxR_IxeORrCU44D8I/edit?usp=drivesdk" TargetMode="External"/><Relationship Id="rId1084" Type="http://schemas.openxmlformats.org/officeDocument/2006/relationships/hyperlink" Target="https://docs.google.com/document/d/1L9R--CWPe4BgHyowBoq-FNP2EQ-ZxuGhStCuj_fXoyk/edit?usp=drivesdk" TargetMode="External"/><Relationship Id="rId131" Type="http://schemas.openxmlformats.org/officeDocument/2006/relationships/hyperlink" Target="https://docs.google.com/open?id=1b5EBsjnO8xq11562TfC0EcteDBoMzqi58ctXnoBMLek" TargetMode="External"/><Relationship Id="rId373" Type="http://schemas.openxmlformats.org/officeDocument/2006/relationships/hyperlink" Target="https://docs.google.com/document/d/1NnZ5QULpRRFVoArqk6Vb_8ANfczxR_IxeORrCU44D8I/edit?usp=drivesdk" TargetMode="External"/><Relationship Id="rId1085" Type="http://schemas.openxmlformats.org/officeDocument/2006/relationships/hyperlink" Target="https://docs.google.com/document/d/1L9R--CWPe4BgHyowBoq-FNP2EQ-ZxuGhStCuj_fXoyk/edit?usp=drivesdk" TargetMode="External"/><Relationship Id="rId130" Type="http://schemas.openxmlformats.org/officeDocument/2006/relationships/hyperlink" Target="https://docs.google.com/open?id=1LQOv5EYH_R2CeIxPcHJt5glQfrI6PypAsdhVvkmyaJo" TargetMode="External"/><Relationship Id="rId372" Type="http://schemas.openxmlformats.org/officeDocument/2006/relationships/hyperlink" Target="https://docs.google.com/document/d/1NnZ5QULpRRFVoArqk6Vb_8ANfczxR_IxeORrCU44D8I/edit?usp=drivesdk" TargetMode="External"/><Relationship Id="rId1086" Type="http://schemas.openxmlformats.org/officeDocument/2006/relationships/hyperlink" Target="https://docs.google.com/document/d/1L9R--CWPe4BgHyowBoq-FNP2EQ-ZxuGhStCuj_fXoyk/edit?usp=drivesdk" TargetMode="External"/><Relationship Id="rId371" Type="http://schemas.openxmlformats.org/officeDocument/2006/relationships/hyperlink" Target="https://docs.google.com/document/d/1NnZ5QULpRRFVoArqk6Vb_8ANfczxR_IxeORrCU44D8I/edit?usp=drivesdk" TargetMode="External"/><Relationship Id="rId1087" Type="http://schemas.openxmlformats.org/officeDocument/2006/relationships/hyperlink" Target="https://docs.google.com/document/d/1xO0zSbJ66Xh8ESVO1JbsmCh5DmH2ce7xOY0OoyTYl_4/edit?usp=drivesdk" TargetMode="External"/><Relationship Id="rId136" Type="http://schemas.openxmlformats.org/officeDocument/2006/relationships/hyperlink" Target="https://docs.google.com/open?id=1b5EBsjnO8xq11562TfC0EcteDBoMzqi58ctXnoBMLek" TargetMode="External"/><Relationship Id="rId378" Type="http://schemas.openxmlformats.org/officeDocument/2006/relationships/hyperlink" Target="https://docs.google.com/document/d/1z4SQa8KXtKJP2Tc-OXM_wa40FTTT3xvrp_y_QSBL8vM/edit?usp=drivesdk" TargetMode="External"/><Relationship Id="rId1088" Type="http://schemas.openxmlformats.org/officeDocument/2006/relationships/hyperlink" Target="https://docs.google.com/document/d/1xO0zSbJ66Xh8ESVO1JbsmCh5DmH2ce7xOY0OoyTYl_4/edit?usp=drivesdk" TargetMode="External"/><Relationship Id="rId135" Type="http://schemas.openxmlformats.org/officeDocument/2006/relationships/hyperlink" Target="https://docs.google.com/open?id=1b5EBsjnO8xq11562TfC0EcteDBoMzqi58ctXnoBMLek" TargetMode="External"/><Relationship Id="rId377" Type="http://schemas.openxmlformats.org/officeDocument/2006/relationships/hyperlink" Target="https://docs.google.com/document/d/1z4SQa8KXtKJP2Tc-OXM_wa40FTTT3xvrp_y_QSBL8vM/edit?usp=drivesdk" TargetMode="External"/><Relationship Id="rId1089" Type="http://schemas.openxmlformats.org/officeDocument/2006/relationships/hyperlink" Target="https://docs.google.com/document/d/1xO0zSbJ66Xh8ESVO1JbsmCh5DmH2ce7xOY0OoyTYl_4/edit?usp=drivesdk" TargetMode="External"/><Relationship Id="rId134" Type="http://schemas.openxmlformats.org/officeDocument/2006/relationships/hyperlink" Target="https://docs.google.com/open?id=1b5EBsjnO8xq11562TfC0EcteDBoMzqi58ctXnoBMLek" TargetMode="External"/><Relationship Id="rId376" Type="http://schemas.openxmlformats.org/officeDocument/2006/relationships/hyperlink" Target="https://docs.google.com/document/d/1z4SQa8KXtKJP2Tc-OXM_wa40FTTT3xvrp_y_QSBL8vM/edit?usp=drivesdk" TargetMode="External"/><Relationship Id="rId133" Type="http://schemas.openxmlformats.org/officeDocument/2006/relationships/hyperlink" Target="https://docs.google.com/open?id=1b5EBsjnO8xq11562TfC0EcteDBoMzqi58ctXnoBMLek" TargetMode="External"/><Relationship Id="rId375" Type="http://schemas.openxmlformats.org/officeDocument/2006/relationships/hyperlink" Target="https://docs.google.com/document/d/1z4SQa8KXtKJP2Tc-OXM_wa40FTTT3xvrp_y_QSBL8vM/edit?usp=drivesdk" TargetMode="External"/><Relationship Id="rId172" Type="http://schemas.openxmlformats.org/officeDocument/2006/relationships/hyperlink" Target="https://docs.google.com/open?id=11RCR-ICjnGrOvbfl-eNUHVrqDYVTU5Y0LLfZtRfHMCk" TargetMode="External"/><Relationship Id="rId171" Type="http://schemas.openxmlformats.org/officeDocument/2006/relationships/hyperlink" Target="https://docs.google.com/open?id=1O6WP7BjNhVBlpSXDpuhu8XnO5U4_yq9Oi8iHm19Yq6U" TargetMode="External"/><Relationship Id="rId170" Type="http://schemas.openxmlformats.org/officeDocument/2006/relationships/hyperlink" Target="https://docs.google.com/open?id=1O6WP7BjNhVBlpSXDpuhu8XnO5U4_yq9Oi8iHm19Yq6U" TargetMode="External"/><Relationship Id="rId165" Type="http://schemas.openxmlformats.org/officeDocument/2006/relationships/hyperlink" Target="https://docs.google.com/open?id=1O6WP7BjNhVBlpSXDpuhu8XnO5U4_yq9Oi8iHm19Yq6U" TargetMode="External"/><Relationship Id="rId164" Type="http://schemas.openxmlformats.org/officeDocument/2006/relationships/hyperlink" Target="https://docs.google.com/open?id=1O6WP7BjNhVBlpSXDpuhu8XnO5U4_yq9Oi8iHm19Yq6U" TargetMode="External"/><Relationship Id="rId163" Type="http://schemas.openxmlformats.org/officeDocument/2006/relationships/hyperlink" Target="https://docs.google.com/open?id=1O6WP7BjNhVBlpSXDpuhu8XnO5U4_yq9Oi8iHm19Yq6U" TargetMode="External"/><Relationship Id="rId162" Type="http://schemas.openxmlformats.org/officeDocument/2006/relationships/hyperlink" Target="https://docs.google.com/open?id=1O6WP7BjNhVBlpSXDpuhu8XnO5U4_yq9Oi8iHm19Yq6U" TargetMode="External"/><Relationship Id="rId169" Type="http://schemas.openxmlformats.org/officeDocument/2006/relationships/hyperlink" Target="https://docs.google.com/open?id=1O6WP7BjNhVBlpSXDpuhu8XnO5U4_yq9Oi8iHm19Yq6U" TargetMode="External"/><Relationship Id="rId168" Type="http://schemas.openxmlformats.org/officeDocument/2006/relationships/hyperlink" Target="https://docs.google.com/open?id=1O6WP7BjNhVBlpSXDpuhu8XnO5U4_yq9Oi8iHm19Yq6U" TargetMode="External"/><Relationship Id="rId167" Type="http://schemas.openxmlformats.org/officeDocument/2006/relationships/hyperlink" Target="https://docs.google.com/open?id=1O6WP7BjNhVBlpSXDpuhu8XnO5U4_yq9Oi8iHm19Yq6U" TargetMode="External"/><Relationship Id="rId166" Type="http://schemas.openxmlformats.org/officeDocument/2006/relationships/hyperlink" Target="https://docs.google.com/open?id=1O6WP7BjNhVBlpSXDpuhu8XnO5U4_yq9Oi8iHm19Yq6U" TargetMode="External"/><Relationship Id="rId161" Type="http://schemas.openxmlformats.org/officeDocument/2006/relationships/hyperlink" Target="https://docs.google.com/open?id=1O6WP7BjNhVBlpSXDpuhu8XnO5U4_yq9Oi8iHm19Yq6U" TargetMode="External"/><Relationship Id="rId160" Type="http://schemas.openxmlformats.org/officeDocument/2006/relationships/hyperlink" Target="https://docs.google.com/open?id=1O6WP7BjNhVBlpSXDpuhu8XnO5U4_yq9Oi8iHm19Yq6U" TargetMode="External"/><Relationship Id="rId159" Type="http://schemas.openxmlformats.org/officeDocument/2006/relationships/hyperlink" Target="https://docs.google.com/open?id=1O6WP7BjNhVBlpSXDpuhu8XnO5U4_yq9Oi8iHm19Yq6U" TargetMode="External"/><Relationship Id="rId154" Type="http://schemas.openxmlformats.org/officeDocument/2006/relationships/hyperlink" Target="https://docs.google.com/open?id=1nszvb9okTDe1oHmfXESj2bAi0TjFNbvwfU8UkOqBLtA" TargetMode="External"/><Relationship Id="rId396" Type="http://schemas.openxmlformats.org/officeDocument/2006/relationships/hyperlink" Target="https://docs.google.com/document/d/1JgCa2zOxFe-9kDox5LuQDUjC9gnzUMq1AN3EUNSAnP4/edit?usp=drivesdk" TargetMode="External"/><Relationship Id="rId153" Type="http://schemas.openxmlformats.org/officeDocument/2006/relationships/hyperlink" Target="https://docs.google.com/open?id=1nszvb9okTDe1oHmfXESj2bAi0TjFNbvwfU8UkOqBLtA" TargetMode="External"/><Relationship Id="rId395" Type="http://schemas.openxmlformats.org/officeDocument/2006/relationships/hyperlink" Target="https://docs.google.com/document/d/1JgCa2zOxFe-9kDox5LuQDUjC9gnzUMq1AN3EUNSAnP4/edit?usp=drivesdk" TargetMode="External"/><Relationship Id="rId152" Type="http://schemas.openxmlformats.org/officeDocument/2006/relationships/hyperlink" Target="https://docs.google.com/open?id=1nszvb9okTDe1oHmfXESj2bAi0TjFNbvwfU8UkOqBLtA" TargetMode="External"/><Relationship Id="rId394" Type="http://schemas.openxmlformats.org/officeDocument/2006/relationships/hyperlink" Target="https://docs.google.com/document/d/1JgCa2zOxFe-9kDox5LuQDUjC9gnzUMq1AN3EUNSAnP4/edit?usp=drivesdk" TargetMode="External"/><Relationship Id="rId151" Type="http://schemas.openxmlformats.org/officeDocument/2006/relationships/hyperlink" Target="https://docs.google.com/open?id=1nszvb9okTDe1oHmfXESj2bAi0TjFNbvwfU8UkOqBLtA" TargetMode="External"/><Relationship Id="rId393" Type="http://schemas.openxmlformats.org/officeDocument/2006/relationships/hyperlink" Target="https://docs.google.com/document/d/1h9WQxFVohNuBfVUELtiJb1fMQHcVm5NWB2DtCBr3yrI/edit?usp=drivesdk" TargetMode="External"/><Relationship Id="rId158" Type="http://schemas.openxmlformats.org/officeDocument/2006/relationships/hyperlink" Target="https://docs.google.com/open?id=1O6WP7BjNhVBlpSXDpuhu8XnO5U4_yq9Oi8iHm19Yq6U" TargetMode="External"/><Relationship Id="rId157" Type="http://schemas.openxmlformats.org/officeDocument/2006/relationships/hyperlink" Target="https://docs.google.com/open?id=1nszvb9okTDe1oHmfXESj2bAi0TjFNbvwfU8UkOqBLtA" TargetMode="External"/><Relationship Id="rId399" Type="http://schemas.openxmlformats.org/officeDocument/2006/relationships/hyperlink" Target="https://docs.google.com/document/d/1JgCa2zOxFe-9kDox5LuQDUjC9gnzUMq1AN3EUNSAnP4/edit?usp=drivesdk" TargetMode="External"/><Relationship Id="rId156" Type="http://schemas.openxmlformats.org/officeDocument/2006/relationships/hyperlink" Target="https://docs.google.com/open?id=1nszvb9okTDe1oHmfXESj2bAi0TjFNbvwfU8UkOqBLtA" TargetMode="External"/><Relationship Id="rId398" Type="http://schemas.openxmlformats.org/officeDocument/2006/relationships/hyperlink" Target="https://docs.google.com/document/d/1JgCa2zOxFe-9kDox5LuQDUjC9gnzUMq1AN3EUNSAnP4/edit?usp=drivesdk" TargetMode="External"/><Relationship Id="rId155" Type="http://schemas.openxmlformats.org/officeDocument/2006/relationships/hyperlink" Target="https://docs.google.com/open?id=1nszvb9okTDe1oHmfXESj2bAi0TjFNbvwfU8UkOqBLtA" TargetMode="External"/><Relationship Id="rId397" Type="http://schemas.openxmlformats.org/officeDocument/2006/relationships/hyperlink" Target="https://docs.google.com/document/d/1JgCa2zOxFe-9kDox5LuQDUjC9gnzUMq1AN3EUNSAnP4/edit?usp=drivesdk" TargetMode="External"/><Relationship Id="rId808" Type="http://schemas.openxmlformats.org/officeDocument/2006/relationships/hyperlink" Target="https://docs.google.com/document/d/1k4CYJMrD9N0FBrjcMguNIfhrlA1fiGg2s3YFAjfqSGQ/edit?usp=drivesdk" TargetMode="External"/><Relationship Id="rId807" Type="http://schemas.openxmlformats.org/officeDocument/2006/relationships/hyperlink" Target="https://docs.google.com/document/d/1k4CYJMrD9N0FBrjcMguNIfhrlA1fiGg2s3YFAjfqSGQ/edit?usp=drivesdk" TargetMode="External"/><Relationship Id="rId806" Type="http://schemas.openxmlformats.org/officeDocument/2006/relationships/hyperlink" Target="https://docs.google.com/document/d/1k4CYJMrD9N0FBrjcMguNIfhrlA1fiGg2s3YFAjfqSGQ/edit?usp=drivesdk" TargetMode="External"/><Relationship Id="rId805" Type="http://schemas.openxmlformats.org/officeDocument/2006/relationships/hyperlink" Target="https://docs.google.com/document/d/1k4CYJMrD9N0FBrjcMguNIfhrlA1fiGg2s3YFAjfqSGQ/edit?usp=drivesdk" TargetMode="External"/><Relationship Id="rId809" Type="http://schemas.openxmlformats.org/officeDocument/2006/relationships/hyperlink" Target="https://docs.google.com/document/d/1k4CYJMrD9N0FBrjcMguNIfhrlA1fiGg2s3YFAjfqSGQ/edit?usp=drivesdk" TargetMode="External"/><Relationship Id="rId800" Type="http://schemas.openxmlformats.org/officeDocument/2006/relationships/hyperlink" Target="https://docs.google.com/document/d/10eiYZzJYoyN7Sjpsb5J6PlNAbmc0266CUG2LWR3_4yE/edit?usp=drivesdk" TargetMode="External"/><Relationship Id="rId804" Type="http://schemas.openxmlformats.org/officeDocument/2006/relationships/hyperlink" Target="https://docs.google.com/document/d/1k4CYJMrD9N0FBrjcMguNIfhrlA1fiGg2s3YFAjfqSGQ/edit?usp=drivesdk" TargetMode="External"/><Relationship Id="rId803" Type="http://schemas.openxmlformats.org/officeDocument/2006/relationships/hyperlink" Target="https://docs.google.com/document/d/1k4CYJMrD9N0FBrjcMguNIfhrlA1fiGg2s3YFAjfqSGQ/edit?usp=drivesdk" TargetMode="External"/><Relationship Id="rId802" Type="http://schemas.openxmlformats.org/officeDocument/2006/relationships/hyperlink" Target="https://docs.google.com/document/d/1k4CYJMrD9N0FBrjcMguNIfhrlA1fiGg2s3YFAjfqSGQ/edit?usp=drivesdk" TargetMode="External"/><Relationship Id="rId801" Type="http://schemas.openxmlformats.org/officeDocument/2006/relationships/hyperlink" Target="https://docs.google.com/document/d/10eiYZzJYoyN7Sjpsb5J6PlNAbmc0266CUG2LWR3_4yE/edit?usp=drivesdk" TargetMode="External"/><Relationship Id="rId40" Type="http://schemas.openxmlformats.org/officeDocument/2006/relationships/hyperlink" Target="https://docs.google.com/open?id=1dn6RtWI4bVAKo34n2gOlH7Fnf6Iz74c0wIpHxYBfVH0" TargetMode="External"/><Relationship Id="rId1334" Type="http://schemas.openxmlformats.org/officeDocument/2006/relationships/hyperlink" Target="https://docs.google.com/document/d/1L5z5rlQWJcFzwWQyPAuWvqurS5D88OlXsZyL753X_qY/edit?usp=drivesdk" TargetMode="External"/><Relationship Id="rId1335" Type="http://schemas.openxmlformats.org/officeDocument/2006/relationships/hyperlink" Target="https://docs.google.com/document/d/1L5z5rlQWJcFzwWQyPAuWvqurS5D88OlXsZyL753X_qY/edit?usp=drivesdk" TargetMode="External"/><Relationship Id="rId42" Type="http://schemas.openxmlformats.org/officeDocument/2006/relationships/hyperlink" Target="https://docs.google.com/open?id=1wcUZA2AJJAnk_DF1yBKKxtgeMyEd3R2aHREKq4PwKlM" TargetMode="External"/><Relationship Id="rId1336" Type="http://schemas.openxmlformats.org/officeDocument/2006/relationships/hyperlink" Target="https://docs.google.com/document/d/1L5z5rlQWJcFzwWQyPAuWvqurS5D88OlXsZyL753X_qY/edit?usp=drivesdk" TargetMode="External"/><Relationship Id="rId41" Type="http://schemas.openxmlformats.org/officeDocument/2006/relationships/hyperlink" Target="https://docs.google.com/open?id=1wcUZA2AJJAnk_DF1yBKKxtgeMyEd3R2aHREKq4PwKlM" TargetMode="External"/><Relationship Id="rId1337" Type="http://schemas.openxmlformats.org/officeDocument/2006/relationships/hyperlink" Target="https://docs.google.com/document/d/1L5z5rlQWJcFzwWQyPAuWvqurS5D88OlXsZyL753X_qY/edit?usp=drivesdk" TargetMode="External"/><Relationship Id="rId44" Type="http://schemas.openxmlformats.org/officeDocument/2006/relationships/hyperlink" Target="https://docs.google.com/open?id=1wcUZA2AJJAnk_DF1yBKKxtgeMyEd3R2aHREKq4PwKlM" TargetMode="External"/><Relationship Id="rId1338" Type="http://schemas.openxmlformats.org/officeDocument/2006/relationships/hyperlink" Target="https://docs.google.com/document/d/1QiVG5lw7EeSTsuedVT-HhhvYNwjuZslq1Rrm1RyEuf0/edit?usp=drivesdk" TargetMode="External"/><Relationship Id="rId43" Type="http://schemas.openxmlformats.org/officeDocument/2006/relationships/hyperlink" Target="https://docs.google.com/open?id=1wcUZA2AJJAnk_DF1yBKKxtgeMyEd3R2aHREKq4PwKlM" TargetMode="External"/><Relationship Id="rId1339" Type="http://schemas.openxmlformats.org/officeDocument/2006/relationships/hyperlink" Target="https://docs.google.com/document/d/1QiVG5lw7EeSTsuedVT-HhhvYNwjuZslq1Rrm1RyEuf0/edit?usp=drivesdk" TargetMode="External"/><Relationship Id="rId46" Type="http://schemas.openxmlformats.org/officeDocument/2006/relationships/hyperlink" Target="https://docs.google.com/open?id=1wcUZA2AJJAnk_DF1yBKKxtgeMyEd3R2aHREKq4PwKlM" TargetMode="External"/><Relationship Id="rId45" Type="http://schemas.openxmlformats.org/officeDocument/2006/relationships/hyperlink" Target="https://docs.google.com/open?id=1wcUZA2AJJAnk_DF1yBKKxtgeMyEd3R2aHREKq4PwKlM" TargetMode="External"/><Relationship Id="rId509" Type="http://schemas.openxmlformats.org/officeDocument/2006/relationships/hyperlink" Target="https://docs.google.com/document/d/1SrY2bdqaqceQFS0VbdDKHuuJnpjcDngZBnIvuevl7x4/edit?usp=drivesdk" TargetMode="External"/><Relationship Id="rId508" Type="http://schemas.openxmlformats.org/officeDocument/2006/relationships/hyperlink" Target="https://docs.google.com/document/d/1SrY2bdqaqceQFS0VbdDKHuuJnpjcDngZBnIvuevl7x4/edit?usp=drivesdk" TargetMode="External"/><Relationship Id="rId503" Type="http://schemas.openxmlformats.org/officeDocument/2006/relationships/hyperlink" Target="https://docs.google.com/document/d/11-mkPXfHCy38YNfEzRxh2xROeotmHiJ8oEZUgH_uvaI/edit?usp=drivesdk" TargetMode="External"/><Relationship Id="rId745" Type="http://schemas.openxmlformats.org/officeDocument/2006/relationships/hyperlink" Target="https://docs.google.com/document/d/1W9P9JcL-LC8k-rFaLZmMyhJxh1HQn6iIukpzB1sUAFU/edit?usp=drivesdk" TargetMode="External"/><Relationship Id="rId987" Type="http://schemas.openxmlformats.org/officeDocument/2006/relationships/hyperlink" Target="https://docs.google.com/document/d/1vPZMNMKQ9E-g0pXkb6_TBL37FOYiu03ILjR7dGrLTe0/edit?usp=drivesdk" TargetMode="External"/><Relationship Id="rId502" Type="http://schemas.openxmlformats.org/officeDocument/2006/relationships/hyperlink" Target="https://docs.google.com/document/d/11-mkPXfHCy38YNfEzRxh2xROeotmHiJ8oEZUgH_uvaI/edit?usp=drivesdk" TargetMode="External"/><Relationship Id="rId744" Type="http://schemas.openxmlformats.org/officeDocument/2006/relationships/hyperlink" Target="https://docs.google.com/document/d/1W9P9JcL-LC8k-rFaLZmMyhJxh1HQn6iIukpzB1sUAFU/edit?usp=drivesdk" TargetMode="External"/><Relationship Id="rId986" Type="http://schemas.openxmlformats.org/officeDocument/2006/relationships/hyperlink" Target="https://docs.google.com/document/d/1vPZMNMKQ9E-g0pXkb6_TBL37FOYiu03ILjR7dGrLTe0/edit?usp=drivesdk" TargetMode="External"/><Relationship Id="rId501" Type="http://schemas.openxmlformats.org/officeDocument/2006/relationships/hyperlink" Target="https://docs.google.com/document/d/11-mkPXfHCy38YNfEzRxh2xROeotmHiJ8oEZUgH_uvaI/edit?usp=drivesdk" TargetMode="External"/><Relationship Id="rId743" Type="http://schemas.openxmlformats.org/officeDocument/2006/relationships/hyperlink" Target="https://docs.google.com/document/d/1W9P9JcL-LC8k-rFaLZmMyhJxh1HQn6iIukpzB1sUAFU/edit?usp=drivesdk" TargetMode="External"/><Relationship Id="rId985" Type="http://schemas.openxmlformats.org/officeDocument/2006/relationships/hyperlink" Target="https://docs.google.com/document/d/1vPZMNMKQ9E-g0pXkb6_TBL37FOYiu03ILjR7dGrLTe0/edit?usp=drivesdk" TargetMode="External"/><Relationship Id="rId500" Type="http://schemas.openxmlformats.org/officeDocument/2006/relationships/hyperlink" Target="https://docs.google.com/document/d/11-mkPXfHCy38YNfEzRxh2xROeotmHiJ8oEZUgH_uvaI/edit?usp=drivesdk" TargetMode="External"/><Relationship Id="rId742" Type="http://schemas.openxmlformats.org/officeDocument/2006/relationships/hyperlink" Target="https://docs.google.com/document/d/1W9P9JcL-LC8k-rFaLZmMyhJxh1HQn6iIukpzB1sUAFU/edit?usp=drivesdk" TargetMode="External"/><Relationship Id="rId984" Type="http://schemas.openxmlformats.org/officeDocument/2006/relationships/hyperlink" Target="https://docs.google.com/document/d/1vPZMNMKQ9E-g0pXkb6_TBL37FOYiu03ILjR7dGrLTe0/edit?usp=drivesdk" TargetMode="External"/><Relationship Id="rId507" Type="http://schemas.openxmlformats.org/officeDocument/2006/relationships/hyperlink" Target="https://docs.google.com/document/d/11-mkPXfHCy38YNfEzRxh2xROeotmHiJ8oEZUgH_uvaI/edit?usp=drivesdk" TargetMode="External"/><Relationship Id="rId749" Type="http://schemas.openxmlformats.org/officeDocument/2006/relationships/hyperlink" Target="https://docs.google.com/document/d/1W9P9JcL-LC8k-rFaLZmMyhJxh1HQn6iIukpzB1sUAFU/edit?usp=drivesdk" TargetMode="External"/><Relationship Id="rId506" Type="http://schemas.openxmlformats.org/officeDocument/2006/relationships/hyperlink" Target="https://docs.google.com/document/d/11-mkPXfHCy38YNfEzRxh2xROeotmHiJ8oEZUgH_uvaI/edit?usp=drivesdk" TargetMode="External"/><Relationship Id="rId748" Type="http://schemas.openxmlformats.org/officeDocument/2006/relationships/hyperlink" Target="https://docs.google.com/document/d/1W9P9JcL-LC8k-rFaLZmMyhJxh1HQn6iIukpzB1sUAFU/edit?usp=drivesdk" TargetMode="External"/><Relationship Id="rId505" Type="http://schemas.openxmlformats.org/officeDocument/2006/relationships/hyperlink" Target="https://docs.google.com/document/d/11-mkPXfHCy38YNfEzRxh2xROeotmHiJ8oEZUgH_uvaI/edit?usp=drivesdk" TargetMode="External"/><Relationship Id="rId747" Type="http://schemas.openxmlformats.org/officeDocument/2006/relationships/hyperlink" Target="https://docs.google.com/document/d/1W9P9JcL-LC8k-rFaLZmMyhJxh1HQn6iIukpzB1sUAFU/edit?usp=drivesdk" TargetMode="External"/><Relationship Id="rId989" Type="http://schemas.openxmlformats.org/officeDocument/2006/relationships/hyperlink" Target="https://docs.google.com/document/d/16PPgnCb9x0xMXj1SnTaZCVq5sWD6l4rWltjaXJ_Of3M/edit?usp=drivesdk" TargetMode="External"/><Relationship Id="rId504" Type="http://schemas.openxmlformats.org/officeDocument/2006/relationships/hyperlink" Target="https://docs.google.com/document/d/11-mkPXfHCy38YNfEzRxh2xROeotmHiJ8oEZUgH_uvaI/edit?usp=drivesdk" TargetMode="External"/><Relationship Id="rId746" Type="http://schemas.openxmlformats.org/officeDocument/2006/relationships/hyperlink" Target="https://docs.google.com/document/d/1W9P9JcL-LC8k-rFaLZmMyhJxh1HQn6iIukpzB1sUAFU/edit?usp=drivesdk" TargetMode="External"/><Relationship Id="rId988" Type="http://schemas.openxmlformats.org/officeDocument/2006/relationships/hyperlink" Target="https://docs.google.com/document/d/16PPgnCb9x0xMXj1SnTaZCVq5sWD6l4rWltjaXJ_Of3M/edit?usp=drivesdk" TargetMode="External"/><Relationship Id="rId48" Type="http://schemas.openxmlformats.org/officeDocument/2006/relationships/hyperlink" Target="https://docs.google.com/open?id=1wcUZA2AJJAnk_DF1yBKKxtgeMyEd3R2aHREKq4PwKlM" TargetMode="External"/><Relationship Id="rId47" Type="http://schemas.openxmlformats.org/officeDocument/2006/relationships/hyperlink" Target="https://docs.google.com/open?id=1wcUZA2AJJAnk_DF1yBKKxtgeMyEd3R2aHREKq4PwKlM" TargetMode="External"/><Relationship Id="rId49" Type="http://schemas.openxmlformats.org/officeDocument/2006/relationships/hyperlink" Target="https://docs.google.com/open?id=1wcUZA2AJJAnk_DF1yBKKxtgeMyEd3R2aHREKq4PwKlM" TargetMode="External"/><Relationship Id="rId741" Type="http://schemas.openxmlformats.org/officeDocument/2006/relationships/hyperlink" Target="https://docs.google.com/document/d/1W9P9JcL-LC8k-rFaLZmMyhJxh1HQn6iIukpzB1sUAFU/edit?usp=drivesdk" TargetMode="External"/><Relationship Id="rId983" Type="http://schemas.openxmlformats.org/officeDocument/2006/relationships/hyperlink" Target="https://docs.google.com/document/d/1vPZMNMKQ9E-g0pXkb6_TBL37FOYiu03ILjR7dGrLTe0/edit?usp=drivesdk" TargetMode="External"/><Relationship Id="rId1330" Type="http://schemas.openxmlformats.org/officeDocument/2006/relationships/hyperlink" Target="https://docs.google.com/document/d/1L5z5rlQWJcFzwWQyPAuWvqurS5D88OlXsZyL753X_qY/edit?usp=drivesdk" TargetMode="External"/><Relationship Id="rId740" Type="http://schemas.openxmlformats.org/officeDocument/2006/relationships/hyperlink" Target="https://docs.google.com/document/d/1W9P9JcL-LC8k-rFaLZmMyhJxh1HQn6iIukpzB1sUAFU/edit?usp=drivesdk" TargetMode="External"/><Relationship Id="rId982" Type="http://schemas.openxmlformats.org/officeDocument/2006/relationships/hyperlink" Target="https://docs.google.com/document/d/1vPZMNMKQ9E-g0pXkb6_TBL37FOYiu03ILjR7dGrLTe0/edit?usp=drivesdk" TargetMode="External"/><Relationship Id="rId1331" Type="http://schemas.openxmlformats.org/officeDocument/2006/relationships/hyperlink" Target="https://docs.google.com/document/d/1L5z5rlQWJcFzwWQyPAuWvqurS5D88OlXsZyL753X_qY/edit?usp=drivesdk" TargetMode="External"/><Relationship Id="rId981" Type="http://schemas.openxmlformats.org/officeDocument/2006/relationships/hyperlink" Target="https://docs.google.com/document/d/1vPZMNMKQ9E-g0pXkb6_TBL37FOYiu03ILjR7dGrLTe0/edit?usp=drivesdk" TargetMode="External"/><Relationship Id="rId1332" Type="http://schemas.openxmlformats.org/officeDocument/2006/relationships/hyperlink" Target="https://docs.google.com/document/d/1L5z5rlQWJcFzwWQyPAuWvqurS5D88OlXsZyL753X_qY/edit?usp=drivesdk" TargetMode="External"/><Relationship Id="rId980" Type="http://schemas.openxmlformats.org/officeDocument/2006/relationships/hyperlink" Target="https://docs.google.com/document/d/1vPZMNMKQ9E-g0pXkb6_TBL37FOYiu03ILjR7dGrLTe0/edit?usp=drivesdk" TargetMode="External"/><Relationship Id="rId1333" Type="http://schemas.openxmlformats.org/officeDocument/2006/relationships/hyperlink" Target="https://docs.google.com/document/d/1L5z5rlQWJcFzwWQyPAuWvqurS5D88OlXsZyL753X_qY/edit?usp=drivesdk" TargetMode="External"/><Relationship Id="rId1323" Type="http://schemas.openxmlformats.org/officeDocument/2006/relationships/hyperlink" Target="https://docs.google.com/document/d/1PRxs6Xs7Yvmvc5DqFjLCSlnrdiu3CXlk58iq9c243zs/edit?usp=drivesdk" TargetMode="External"/><Relationship Id="rId1324" Type="http://schemas.openxmlformats.org/officeDocument/2006/relationships/hyperlink" Target="https://docs.google.com/document/d/1PRxs6Xs7Yvmvc5DqFjLCSlnrdiu3CXlk58iq9c243zs/edit?usp=drivesdk" TargetMode="External"/><Relationship Id="rId31" Type="http://schemas.openxmlformats.org/officeDocument/2006/relationships/hyperlink" Target="https://docs.google.com/open?id=1dn6RtWI4bVAKo34n2gOlH7Fnf6Iz74c0wIpHxYBfVH0" TargetMode="External"/><Relationship Id="rId1325" Type="http://schemas.openxmlformats.org/officeDocument/2006/relationships/hyperlink" Target="https://docs.google.com/document/d/1PRxs6Xs7Yvmvc5DqFjLCSlnrdiu3CXlk58iq9c243zs/edit?usp=drivesdk" TargetMode="External"/><Relationship Id="rId30" Type="http://schemas.openxmlformats.org/officeDocument/2006/relationships/hyperlink" Target="https://docs.google.com/open?id=1h9CmVCxFuDLMFbGBaBznFKnrVbxtmirpfh28FMmvHFA" TargetMode="External"/><Relationship Id="rId1326" Type="http://schemas.openxmlformats.org/officeDocument/2006/relationships/hyperlink" Target="https://docs.google.com/document/d/1PRxs6Xs7Yvmvc5DqFjLCSlnrdiu3CXlk58iq9c243zs/edit?usp=drivesdk" TargetMode="External"/><Relationship Id="rId33" Type="http://schemas.openxmlformats.org/officeDocument/2006/relationships/hyperlink" Target="https://docs.google.com/open?id=1dn6RtWI4bVAKo34n2gOlH7Fnf6Iz74c0wIpHxYBfVH0" TargetMode="External"/><Relationship Id="rId1327" Type="http://schemas.openxmlformats.org/officeDocument/2006/relationships/hyperlink" Target="https://docs.google.com/document/d/1PRxs6Xs7Yvmvc5DqFjLCSlnrdiu3CXlk58iq9c243zs/edit?usp=drivesdk" TargetMode="External"/><Relationship Id="rId32" Type="http://schemas.openxmlformats.org/officeDocument/2006/relationships/hyperlink" Target="https://docs.google.com/open?id=1dn6RtWI4bVAKo34n2gOlH7Fnf6Iz74c0wIpHxYBfVH0" TargetMode="External"/><Relationship Id="rId1328" Type="http://schemas.openxmlformats.org/officeDocument/2006/relationships/hyperlink" Target="https://docs.google.com/document/d/1PRxs6Xs7Yvmvc5DqFjLCSlnrdiu3CXlk58iq9c243zs/edit?usp=drivesdk" TargetMode="External"/><Relationship Id="rId35" Type="http://schemas.openxmlformats.org/officeDocument/2006/relationships/hyperlink" Target="https://docs.google.com/open?id=1dn6RtWI4bVAKo34n2gOlH7Fnf6Iz74c0wIpHxYBfVH0" TargetMode="External"/><Relationship Id="rId1329" Type="http://schemas.openxmlformats.org/officeDocument/2006/relationships/hyperlink" Target="https://docs.google.com/document/d/1L5z5rlQWJcFzwWQyPAuWvqurS5D88OlXsZyL753X_qY/edit?usp=drivesdk" TargetMode="External"/><Relationship Id="rId34" Type="http://schemas.openxmlformats.org/officeDocument/2006/relationships/hyperlink" Target="https://docs.google.com/open?id=1dn6RtWI4bVAKo34n2gOlH7Fnf6Iz74c0wIpHxYBfVH0" TargetMode="External"/><Relationship Id="rId739" Type="http://schemas.openxmlformats.org/officeDocument/2006/relationships/hyperlink" Target="https://docs.google.com/document/d/1W9P9JcL-LC8k-rFaLZmMyhJxh1HQn6iIukpzB1sUAFU/edit?usp=drivesdk" TargetMode="External"/><Relationship Id="rId734" Type="http://schemas.openxmlformats.org/officeDocument/2006/relationships/hyperlink" Target="https://docs.google.com/document/d/1W9P9JcL-LC8k-rFaLZmMyhJxh1HQn6iIukpzB1sUAFU/edit?usp=drivesdk" TargetMode="External"/><Relationship Id="rId976" Type="http://schemas.openxmlformats.org/officeDocument/2006/relationships/hyperlink" Target="https://docs.google.com/document/d/1vPZMNMKQ9E-g0pXkb6_TBL37FOYiu03ILjR7dGrLTe0/edit?usp=drivesdk" TargetMode="External"/><Relationship Id="rId733" Type="http://schemas.openxmlformats.org/officeDocument/2006/relationships/hyperlink" Target="https://docs.google.com/document/d/1W9P9JcL-LC8k-rFaLZmMyhJxh1HQn6iIukpzB1sUAFU/edit?usp=drivesdk" TargetMode="External"/><Relationship Id="rId975" Type="http://schemas.openxmlformats.org/officeDocument/2006/relationships/hyperlink" Target="https://docs.google.com/document/d/1vPZMNMKQ9E-g0pXkb6_TBL37FOYiu03ILjR7dGrLTe0/edit?usp=drivesdk" TargetMode="External"/><Relationship Id="rId732" Type="http://schemas.openxmlformats.org/officeDocument/2006/relationships/hyperlink" Target="https://docs.google.com/document/d/1W9P9JcL-LC8k-rFaLZmMyhJxh1HQn6iIukpzB1sUAFU/edit?usp=drivesdk" TargetMode="External"/><Relationship Id="rId974" Type="http://schemas.openxmlformats.org/officeDocument/2006/relationships/hyperlink" Target="https://docs.google.com/document/d/1vPZMNMKQ9E-g0pXkb6_TBL37FOYiu03ILjR7dGrLTe0/edit?usp=drivesdk" TargetMode="External"/><Relationship Id="rId731" Type="http://schemas.openxmlformats.org/officeDocument/2006/relationships/hyperlink" Target="https://docs.google.com/document/d/1W9P9JcL-LC8k-rFaLZmMyhJxh1HQn6iIukpzB1sUAFU/edit?usp=drivesdk" TargetMode="External"/><Relationship Id="rId973" Type="http://schemas.openxmlformats.org/officeDocument/2006/relationships/hyperlink" Target="https://docs.google.com/document/d/1vPZMNMKQ9E-g0pXkb6_TBL37FOYiu03ILjR7dGrLTe0/edit?usp=drivesdk" TargetMode="External"/><Relationship Id="rId738" Type="http://schemas.openxmlformats.org/officeDocument/2006/relationships/hyperlink" Target="https://docs.google.com/document/d/1W9P9JcL-LC8k-rFaLZmMyhJxh1HQn6iIukpzB1sUAFU/edit?usp=drivesdk" TargetMode="External"/><Relationship Id="rId737" Type="http://schemas.openxmlformats.org/officeDocument/2006/relationships/hyperlink" Target="https://docs.google.com/document/d/1W9P9JcL-LC8k-rFaLZmMyhJxh1HQn6iIukpzB1sUAFU/edit?usp=drivesdk" TargetMode="External"/><Relationship Id="rId979" Type="http://schemas.openxmlformats.org/officeDocument/2006/relationships/hyperlink" Target="https://docs.google.com/document/d/1vPZMNMKQ9E-g0pXkb6_TBL37FOYiu03ILjR7dGrLTe0/edit?usp=drivesdk" TargetMode="External"/><Relationship Id="rId736" Type="http://schemas.openxmlformats.org/officeDocument/2006/relationships/hyperlink" Target="https://docs.google.com/document/d/1W9P9JcL-LC8k-rFaLZmMyhJxh1HQn6iIukpzB1sUAFU/edit?usp=drivesdk" TargetMode="External"/><Relationship Id="rId978" Type="http://schemas.openxmlformats.org/officeDocument/2006/relationships/hyperlink" Target="https://docs.google.com/document/d/1vPZMNMKQ9E-g0pXkb6_TBL37FOYiu03ILjR7dGrLTe0/edit?usp=drivesdk" TargetMode="External"/><Relationship Id="rId735" Type="http://schemas.openxmlformats.org/officeDocument/2006/relationships/hyperlink" Target="https://docs.google.com/document/d/1W9P9JcL-LC8k-rFaLZmMyhJxh1HQn6iIukpzB1sUAFU/edit?usp=drivesdk" TargetMode="External"/><Relationship Id="rId977" Type="http://schemas.openxmlformats.org/officeDocument/2006/relationships/hyperlink" Target="https://docs.google.com/document/d/1vPZMNMKQ9E-g0pXkb6_TBL37FOYiu03ILjR7dGrLTe0/edit?usp=drivesdk" TargetMode="External"/><Relationship Id="rId37" Type="http://schemas.openxmlformats.org/officeDocument/2006/relationships/hyperlink" Target="https://docs.google.com/open?id=1dn6RtWI4bVAKo34n2gOlH7Fnf6Iz74c0wIpHxYBfVH0" TargetMode="External"/><Relationship Id="rId36" Type="http://schemas.openxmlformats.org/officeDocument/2006/relationships/hyperlink" Target="https://docs.google.com/open?id=1dn6RtWI4bVAKo34n2gOlH7Fnf6Iz74c0wIpHxYBfVH0" TargetMode="External"/><Relationship Id="rId39" Type="http://schemas.openxmlformats.org/officeDocument/2006/relationships/hyperlink" Target="https://docs.google.com/open?id=1dn6RtWI4bVAKo34n2gOlH7Fnf6Iz74c0wIpHxYBfVH0" TargetMode="External"/><Relationship Id="rId38" Type="http://schemas.openxmlformats.org/officeDocument/2006/relationships/hyperlink" Target="https://docs.google.com/open?id=1dn6RtWI4bVAKo34n2gOlH7Fnf6Iz74c0wIpHxYBfVH0" TargetMode="External"/><Relationship Id="rId730" Type="http://schemas.openxmlformats.org/officeDocument/2006/relationships/hyperlink" Target="https://docs.google.com/document/d/1owc5RY8nT0EqHg8jvY5m1Zyu91wARntv3k8fvZ-Hblg/edit?usp=drivesdk" TargetMode="External"/><Relationship Id="rId972" Type="http://schemas.openxmlformats.org/officeDocument/2006/relationships/hyperlink" Target="https://docs.google.com/document/d/1iPLPwWjtRqSOjN_y97lgKffhNUB0bvvrgFc37SeRfRg/edit?usp=drivesdk" TargetMode="External"/><Relationship Id="rId971" Type="http://schemas.openxmlformats.org/officeDocument/2006/relationships/hyperlink" Target="https://docs.google.com/document/d/1iPLPwWjtRqSOjN_y97lgKffhNUB0bvvrgFc37SeRfRg/edit?usp=drivesdk" TargetMode="External"/><Relationship Id="rId1320" Type="http://schemas.openxmlformats.org/officeDocument/2006/relationships/hyperlink" Target="https://docs.google.com/document/d/1PRxs6Xs7Yvmvc5DqFjLCSlnrdiu3CXlk58iq9c243zs/edit?usp=drivesdk" TargetMode="External"/><Relationship Id="rId970" Type="http://schemas.openxmlformats.org/officeDocument/2006/relationships/hyperlink" Target="https://docs.google.com/document/d/1iPLPwWjtRqSOjN_y97lgKffhNUB0bvvrgFc37SeRfRg/edit?usp=drivesdk" TargetMode="External"/><Relationship Id="rId1321" Type="http://schemas.openxmlformats.org/officeDocument/2006/relationships/hyperlink" Target="https://docs.google.com/document/d/1PRxs6Xs7Yvmvc5DqFjLCSlnrdiu3CXlk58iq9c243zs/edit?usp=drivesdk" TargetMode="External"/><Relationship Id="rId1322" Type="http://schemas.openxmlformats.org/officeDocument/2006/relationships/hyperlink" Target="https://docs.google.com/document/d/1PRxs6Xs7Yvmvc5DqFjLCSlnrdiu3CXlk58iq9c243zs/edit?usp=drivesdk" TargetMode="External"/><Relationship Id="rId1114" Type="http://schemas.openxmlformats.org/officeDocument/2006/relationships/hyperlink" Target="https://docs.google.com/document/d/1k2bnufSwjDLYMMWuDJGD5b9U7xr9jdrdl8Gx9uTbJDI/edit?usp=drivesdk" TargetMode="External"/><Relationship Id="rId1356" Type="http://schemas.openxmlformats.org/officeDocument/2006/relationships/hyperlink" Target="https://docs.google.com/document/d/1SvJD0QX9KdFHwzfz4gLbrBYxFRAQlKbSLguAD0VF0Ac/edit?usp=drivesdk" TargetMode="External"/><Relationship Id="rId1115" Type="http://schemas.openxmlformats.org/officeDocument/2006/relationships/hyperlink" Target="https://docs.google.com/document/d/1k2bnufSwjDLYMMWuDJGD5b9U7xr9jdrdl8Gx9uTbJDI/edit?usp=drivesdk" TargetMode="External"/><Relationship Id="rId1357" Type="http://schemas.openxmlformats.org/officeDocument/2006/relationships/hyperlink" Target="https://docs.google.com/document/d/1SvJD0QX9KdFHwzfz4gLbrBYxFRAQlKbSLguAD0VF0Ac/edit?usp=drivesdk" TargetMode="External"/><Relationship Id="rId20" Type="http://schemas.openxmlformats.org/officeDocument/2006/relationships/hyperlink" Target="https://docs.google.com/open?id=1kD2eLH7Asnu83kjTVOV3tHJHaj_MBJzuGGBeFPpv8Zg" TargetMode="External"/><Relationship Id="rId1116" Type="http://schemas.openxmlformats.org/officeDocument/2006/relationships/hyperlink" Target="https://docs.google.com/document/d/1k2bnufSwjDLYMMWuDJGD5b9U7xr9jdrdl8Gx9uTbJDI/edit?usp=drivesdk" TargetMode="External"/><Relationship Id="rId1358" Type="http://schemas.openxmlformats.org/officeDocument/2006/relationships/hyperlink" Target="https://docs.google.com/document/d/1SvJD0QX9KdFHwzfz4gLbrBYxFRAQlKbSLguAD0VF0Ac/edit?usp=drivesdk" TargetMode="External"/><Relationship Id="rId1117" Type="http://schemas.openxmlformats.org/officeDocument/2006/relationships/hyperlink" Target="https://docs.google.com/document/d/1k2bnufSwjDLYMMWuDJGD5b9U7xr9jdrdl8Gx9uTbJDI/edit?usp=drivesdk" TargetMode="External"/><Relationship Id="rId1359" Type="http://schemas.openxmlformats.org/officeDocument/2006/relationships/hyperlink" Target="https://docs.google.com/document/d/1DwboVjxaSVqfkkiCekVvQGX98F4w-ajzDVKnCVkf82g/edit?usp=drivesdk" TargetMode="External"/><Relationship Id="rId22" Type="http://schemas.openxmlformats.org/officeDocument/2006/relationships/hyperlink" Target="https://docs.google.com/open?id=1h9CmVCxFuDLMFbGBaBznFKnrVbxtmirpfh28FMmvHFA" TargetMode="External"/><Relationship Id="rId1118" Type="http://schemas.openxmlformats.org/officeDocument/2006/relationships/hyperlink" Target="https://docs.google.com/document/d/1k2bnufSwjDLYMMWuDJGD5b9U7xr9jdrdl8Gx9uTbJDI/edit?usp=drivesdk" TargetMode="External"/><Relationship Id="rId21" Type="http://schemas.openxmlformats.org/officeDocument/2006/relationships/hyperlink" Target="https://docs.google.com/open?id=1kD2eLH7Asnu83kjTVOV3tHJHaj_MBJzuGGBeFPpv8Zg" TargetMode="External"/><Relationship Id="rId1119" Type="http://schemas.openxmlformats.org/officeDocument/2006/relationships/hyperlink" Target="https://docs.google.com/document/d/1k2bnufSwjDLYMMWuDJGD5b9U7xr9jdrdl8Gx9uTbJDI/edit?usp=drivesdk" TargetMode="External"/><Relationship Id="rId24" Type="http://schemas.openxmlformats.org/officeDocument/2006/relationships/hyperlink" Target="https://docs.google.com/open?id=1h9CmVCxFuDLMFbGBaBznFKnrVbxtmirpfh28FMmvHFA" TargetMode="External"/><Relationship Id="rId23" Type="http://schemas.openxmlformats.org/officeDocument/2006/relationships/hyperlink" Target="https://docs.google.com/open?id=1h9CmVCxFuDLMFbGBaBznFKnrVbxtmirpfh28FMmvHFA" TargetMode="External"/><Relationship Id="rId525" Type="http://schemas.openxmlformats.org/officeDocument/2006/relationships/hyperlink" Target="https://docs.google.com/document/d/1SrY2bdqaqceQFS0VbdDKHuuJnpjcDngZBnIvuevl7x4/edit?usp=drivesdk" TargetMode="External"/><Relationship Id="rId767" Type="http://schemas.openxmlformats.org/officeDocument/2006/relationships/hyperlink" Target="https://docs.google.com/document/d/1yCfxZBy3mFFAytWgPi9pM8Izz9ThiXdNZZzJlFJppvg/edit?usp=drivesdk" TargetMode="External"/><Relationship Id="rId524" Type="http://schemas.openxmlformats.org/officeDocument/2006/relationships/hyperlink" Target="https://docs.google.com/document/d/1SrY2bdqaqceQFS0VbdDKHuuJnpjcDngZBnIvuevl7x4/edit?usp=drivesdk" TargetMode="External"/><Relationship Id="rId766" Type="http://schemas.openxmlformats.org/officeDocument/2006/relationships/hyperlink" Target="https://docs.google.com/document/d/1yCfxZBy3mFFAytWgPi9pM8Izz9ThiXdNZZzJlFJppvg/edit?usp=drivesdk" TargetMode="External"/><Relationship Id="rId523" Type="http://schemas.openxmlformats.org/officeDocument/2006/relationships/hyperlink" Target="https://docs.google.com/document/d/1SrY2bdqaqceQFS0VbdDKHuuJnpjcDngZBnIvuevl7x4/edit?usp=drivesdk" TargetMode="External"/><Relationship Id="rId765" Type="http://schemas.openxmlformats.org/officeDocument/2006/relationships/hyperlink" Target="https://docs.google.com/document/d/1yCfxZBy3mFFAytWgPi9pM8Izz9ThiXdNZZzJlFJppvg/edit?usp=drivesdk" TargetMode="External"/><Relationship Id="rId522" Type="http://schemas.openxmlformats.org/officeDocument/2006/relationships/hyperlink" Target="https://docs.google.com/document/d/1SrY2bdqaqceQFS0VbdDKHuuJnpjcDngZBnIvuevl7x4/edit?usp=drivesdk" TargetMode="External"/><Relationship Id="rId764" Type="http://schemas.openxmlformats.org/officeDocument/2006/relationships/hyperlink" Target="https://docs.google.com/document/d/1yCfxZBy3mFFAytWgPi9pM8Izz9ThiXdNZZzJlFJppvg/edit?usp=drivesdk" TargetMode="External"/><Relationship Id="rId529" Type="http://schemas.openxmlformats.org/officeDocument/2006/relationships/hyperlink" Target="https://docs.google.com/document/d/1_aalscC4dw9G5BKzUI_ZyaOp0u8SiCXaTClClDrQGv8/edit?usp=drivesdk" TargetMode="External"/><Relationship Id="rId528" Type="http://schemas.openxmlformats.org/officeDocument/2006/relationships/hyperlink" Target="https://docs.google.com/document/d/1_aalscC4dw9G5BKzUI_ZyaOp0u8SiCXaTClClDrQGv8/edit?usp=drivesdk" TargetMode="External"/><Relationship Id="rId527" Type="http://schemas.openxmlformats.org/officeDocument/2006/relationships/hyperlink" Target="https://docs.google.com/document/d/1_aalscC4dw9G5BKzUI_ZyaOp0u8SiCXaTClClDrQGv8/edit?usp=drivesdk" TargetMode="External"/><Relationship Id="rId769" Type="http://schemas.openxmlformats.org/officeDocument/2006/relationships/hyperlink" Target="https://docs.google.com/document/d/1yCfxZBy3mFFAytWgPi9pM8Izz9ThiXdNZZzJlFJppvg/edit?usp=drivesdk" TargetMode="External"/><Relationship Id="rId526" Type="http://schemas.openxmlformats.org/officeDocument/2006/relationships/hyperlink" Target="https://docs.google.com/document/d/1_aalscC4dw9G5BKzUI_ZyaOp0u8SiCXaTClClDrQGv8/edit?usp=drivesdk" TargetMode="External"/><Relationship Id="rId768" Type="http://schemas.openxmlformats.org/officeDocument/2006/relationships/hyperlink" Target="https://docs.google.com/document/d/1yCfxZBy3mFFAytWgPi9pM8Izz9ThiXdNZZzJlFJppvg/edit?usp=drivesdk" TargetMode="External"/><Relationship Id="rId26" Type="http://schemas.openxmlformats.org/officeDocument/2006/relationships/hyperlink" Target="https://docs.google.com/open?id=1h9CmVCxFuDLMFbGBaBznFKnrVbxtmirpfh28FMmvHFA" TargetMode="External"/><Relationship Id="rId25" Type="http://schemas.openxmlformats.org/officeDocument/2006/relationships/hyperlink" Target="https://docs.google.com/open?id=1h9CmVCxFuDLMFbGBaBznFKnrVbxtmirpfh28FMmvHFA" TargetMode="External"/><Relationship Id="rId28" Type="http://schemas.openxmlformats.org/officeDocument/2006/relationships/hyperlink" Target="https://docs.google.com/open?id=1h9CmVCxFuDLMFbGBaBznFKnrVbxtmirpfh28FMmvHFA" TargetMode="External"/><Relationship Id="rId1350" Type="http://schemas.openxmlformats.org/officeDocument/2006/relationships/hyperlink" Target="https://docs.google.com/document/d/1SvJD0QX9KdFHwzfz4gLbrBYxFRAQlKbSLguAD0VF0Ac/edit?usp=drivesdk" TargetMode="External"/><Relationship Id="rId27" Type="http://schemas.openxmlformats.org/officeDocument/2006/relationships/hyperlink" Target="https://docs.google.com/open?id=1h9CmVCxFuDLMFbGBaBznFKnrVbxtmirpfh28FMmvHFA" TargetMode="External"/><Relationship Id="rId1351" Type="http://schemas.openxmlformats.org/officeDocument/2006/relationships/hyperlink" Target="https://docs.google.com/document/d/1SvJD0QX9KdFHwzfz4gLbrBYxFRAQlKbSLguAD0VF0Ac/edit?usp=drivesdk" TargetMode="External"/><Relationship Id="rId521" Type="http://schemas.openxmlformats.org/officeDocument/2006/relationships/hyperlink" Target="https://docs.google.com/document/d/1SrY2bdqaqceQFS0VbdDKHuuJnpjcDngZBnIvuevl7x4/edit?usp=drivesdk" TargetMode="External"/><Relationship Id="rId763" Type="http://schemas.openxmlformats.org/officeDocument/2006/relationships/hyperlink" Target="https://docs.google.com/document/d/1W9P9JcL-LC8k-rFaLZmMyhJxh1HQn6iIukpzB1sUAFU/edit?usp=drivesdk" TargetMode="External"/><Relationship Id="rId1110" Type="http://schemas.openxmlformats.org/officeDocument/2006/relationships/hyperlink" Target="https://docs.google.com/document/d/1ItSt5G2K59tChoFvVuew3P52BghwX9EbJTXZTsp2SAM/edit?usp=drivesdk" TargetMode="External"/><Relationship Id="rId1352" Type="http://schemas.openxmlformats.org/officeDocument/2006/relationships/hyperlink" Target="https://docs.google.com/document/d/1SvJD0QX9KdFHwzfz4gLbrBYxFRAQlKbSLguAD0VF0Ac/edit?usp=drivesdk" TargetMode="External"/><Relationship Id="rId29" Type="http://schemas.openxmlformats.org/officeDocument/2006/relationships/hyperlink" Target="https://docs.google.com/open?id=1h9CmVCxFuDLMFbGBaBznFKnrVbxtmirpfh28FMmvHFA" TargetMode="External"/><Relationship Id="rId520" Type="http://schemas.openxmlformats.org/officeDocument/2006/relationships/hyperlink" Target="https://docs.google.com/document/d/1SrY2bdqaqceQFS0VbdDKHuuJnpjcDngZBnIvuevl7x4/edit?usp=drivesdk" TargetMode="External"/><Relationship Id="rId762" Type="http://schemas.openxmlformats.org/officeDocument/2006/relationships/hyperlink" Target="https://docs.google.com/document/d/1W9P9JcL-LC8k-rFaLZmMyhJxh1HQn6iIukpzB1sUAFU/edit?usp=drivesdk" TargetMode="External"/><Relationship Id="rId1111" Type="http://schemas.openxmlformats.org/officeDocument/2006/relationships/hyperlink" Target="https://docs.google.com/document/d/1ItSt5G2K59tChoFvVuew3P52BghwX9EbJTXZTsp2SAM/edit?usp=drivesdk" TargetMode="External"/><Relationship Id="rId1353" Type="http://schemas.openxmlformats.org/officeDocument/2006/relationships/hyperlink" Target="https://docs.google.com/document/d/1SvJD0QX9KdFHwzfz4gLbrBYxFRAQlKbSLguAD0VF0Ac/edit?usp=drivesdk" TargetMode="External"/><Relationship Id="rId761" Type="http://schemas.openxmlformats.org/officeDocument/2006/relationships/hyperlink" Target="https://docs.google.com/document/d/1W9P9JcL-LC8k-rFaLZmMyhJxh1HQn6iIukpzB1sUAFU/edit?usp=drivesdk" TargetMode="External"/><Relationship Id="rId1112" Type="http://schemas.openxmlformats.org/officeDocument/2006/relationships/hyperlink" Target="https://docs.google.com/document/d/1k2bnufSwjDLYMMWuDJGD5b9U7xr9jdrdl8Gx9uTbJDI/edit?usp=drivesdk" TargetMode="External"/><Relationship Id="rId1354" Type="http://schemas.openxmlformats.org/officeDocument/2006/relationships/hyperlink" Target="https://docs.google.com/document/d/1SvJD0QX9KdFHwzfz4gLbrBYxFRAQlKbSLguAD0VF0Ac/edit?usp=drivesdk" TargetMode="External"/><Relationship Id="rId760" Type="http://schemas.openxmlformats.org/officeDocument/2006/relationships/hyperlink" Target="https://docs.google.com/document/d/1W9P9JcL-LC8k-rFaLZmMyhJxh1HQn6iIukpzB1sUAFU/edit?usp=drivesdk" TargetMode="External"/><Relationship Id="rId1113" Type="http://schemas.openxmlformats.org/officeDocument/2006/relationships/hyperlink" Target="https://docs.google.com/document/d/1k2bnufSwjDLYMMWuDJGD5b9U7xr9jdrdl8Gx9uTbJDI/edit?usp=drivesdk" TargetMode="External"/><Relationship Id="rId1355" Type="http://schemas.openxmlformats.org/officeDocument/2006/relationships/hyperlink" Target="https://docs.google.com/document/d/1SvJD0QX9KdFHwzfz4gLbrBYxFRAQlKbSLguAD0VF0Ac/edit?usp=drivesdk" TargetMode="External"/><Relationship Id="rId1103" Type="http://schemas.openxmlformats.org/officeDocument/2006/relationships/hyperlink" Target="https://docs.google.com/document/d/1ItSt5G2K59tChoFvVuew3P52BghwX9EbJTXZTsp2SAM/edit?usp=drivesdk" TargetMode="External"/><Relationship Id="rId1345" Type="http://schemas.openxmlformats.org/officeDocument/2006/relationships/hyperlink" Target="https://docs.google.com/document/d/1QiVG5lw7EeSTsuedVT-HhhvYNwjuZslq1Rrm1RyEuf0/edit?usp=drivesdk" TargetMode="External"/><Relationship Id="rId1104" Type="http://schemas.openxmlformats.org/officeDocument/2006/relationships/hyperlink" Target="https://docs.google.com/document/d/1ItSt5G2K59tChoFvVuew3P52BghwX9EbJTXZTsp2SAM/edit?usp=drivesdk" TargetMode="External"/><Relationship Id="rId1346" Type="http://schemas.openxmlformats.org/officeDocument/2006/relationships/hyperlink" Target="https://docs.google.com/document/d/1QiVG5lw7EeSTsuedVT-HhhvYNwjuZslq1Rrm1RyEuf0/edit?usp=drivesdk" TargetMode="External"/><Relationship Id="rId1105" Type="http://schemas.openxmlformats.org/officeDocument/2006/relationships/hyperlink" Target="https://docs.google.com/document/d/1ItSt5G2K59tChoFvVuew3P52BghwX9EbJTXZTsp2SAM/edit?usp=drivesdk" TargetMode="External"/><Relationship Id="rId1347" Type="http://schemas.openxmlformats.org/officeDocument/2006/relationships/hyperlink" Target="https://docs.google.com/document/d/1QiVG5lw7EeSTsuedVT-HhhvYNwjuZslq1Rrm1RyEuf0/edit?usp=drivesdk" TargetMode="External"/><Relationship Id="rId1106" Type="http://schemas.openxmlformats.org/officeDocument/2006/relationships/hyperlink" Target="https://docs.google.com/document/d/1ItSt5G2K59tChoFvVuew3P52BghwX9EbJTXZTsp2SAM/edit?usp=drivesdk" TargetMode="External"/><Relationship Id="rId1348" Type="http://schemas.openxmlformats.org/officeDocument/2006/relationships/hyperlink" Target="https://docs.google.com/document/d/1SvJD0QX9KdFHwzfz4gLbrBYxFRAQlKbSLguAD0VF0Ac/edit?usp=drivesdk" TargetMode="External"/><Relationship Id="rId11" Type="http://schemas.openxmlformats.org/officeDocument/2006/relationships/hyperlink" Target="https://docs.google.com/open?id=1kD2eLH7Asnu83kjTVOV3tHJHaj_MBJzuGGBeFPpv8Zg" TargetMode="External"/><Relationship Id="rId1107" Type="http://schemas.openxmlformats.org/officeDocument/2006/relationships/hyperlink" Target="https://docs.google.com/document/d/1ItSt5G2K59tChoFvVuew3P52BghwX9EbJTXZTsp2SAM/edit?usp=drivesdk" TargetMode="External"/><Relationship Id="rId1349" Type="http://schemas.openxmlformats.org/officeDocument/2006/relationships/hyperlink" Target="https://docs.google.com/document/d/1SvJD0QX9KdFHwzfz4gLbrBYxFRAQlKbSLguAD0VF0Ac/edit?usp=drivesdk" TargetMode="External"/><Relationship Id="rId10" Type="http://schemas.openxmlformats.org/officeDocument/2006/relationships/hyperlink" Target="https://docs.google.com/open?id=1kD2eLH7Asnu83kjTVOV3tHJHaj_MBJzuGGBeFPpv8Zg" TargetMode="External"/><Relationship Id="rId1108" Type="http://schemas.openxmlformats.org/officeDocument/2006/relationships/hyperlink" Target="https://docs.google.com/document/d/1ItSt5G2K59tChoFvVuew3P52BghwX9EbJTXZTsp2SAM/edit?usp=drivesdk" TargetMode="External"/><Relationship Id="rId13" Type="http://schemas.openxmlformats.org/officeDocument/2006/relationships/hyperlink" Target="https://docs.google.com/open?id=1kD2eLH7Asnu83kjTVOV3tHJHaj_MBJzuGGBeFPpv8Zg" TargetMode="External"/><Relationship Id="rId1109" Type="http://schemas.openxmlformats.org/officeDocument/2006/relationships/hyperlink" Target="https://docs.google.com/document/d/1ItSt5G2K59tChoFvVuew3P52BghwX9EbJTXZTsp2SAM/edit?usp=drivesdk" TargetMode="External"/><Relationship Id="rId12" Type="http://schemas.openxmlformats.org/officeDocument/2006/relationships/hyperlink" Target="https://docs.google.com/open?id=1kD2eLH7Asnu83kjTVOV3tHJHaj_MBJzuGGBeFPpv8Zg" TargetMode="External"/><Relationship Id="rId519" Type="http://schemas.openxmlformats.org/officeDocument/2006/relationships/hyperlink" Target="https://docs.google.com/document/d/1SrY2bdqaqceQFS0VbdDKHuuJnpjcDngZBnIvuevl7x4/edit?usp=drivesdk" TargetMode="External"/><Relationship Id="rId514" Type="http://schemas.openxmlformats.org/officeDocument/2006/relationships/hyperlink" Target="https://docs.google.com/document/d/1SrY2bdqaqceQFS0VbdDKHuuJnpjcDngZBnIvuevl7x4/edit?usp=drivesdk" TargetMode="External"/><Relationship Id="rId756" Type="http://schemas.openxmlformats.org/officeDocument/2006/relationships/hyperlink" Target="https://docs.google.com/document/d/1W9P9JcL-LC8k-rFaLZmMyhJxh1HQn6iIukpzB1sUAFU/edit?usp=drivesdk" TargetMode="External"/><Relationship Id="rId998" Type="http://schemas.openxmlformats.org/officeDocument/2006/relationships/hyperlink" Target="https://docs.google.com/document/d/1_vPKwFEnjGvdlsTNxWqzhuuNaJX6IqoyntnhDn_EdxM/edit?usp=drivesdk" TargetMode="External"/><Relationship Id="rId513" Type="http://schemas.openxmlformats.org/officeDocument/2006/relationships/hyperlink" Target="https://docs.google.com/document/d/1SrY2bdqaqceQFS0VbdDKHuuJnpjcDngZBnIvuevl7x4/edit?usp=drivesdk" TargetMode="External"/><Relationship Id="rId755" Type="http://schemas.openxmlformats.org/officeDocument/2006/relationships/hyperlink" Target="https://docs.google.com/document/d/1W9P9JcL-LC8k-rFaLZmMyhJxh1HQn6iIukpzB1sUAFU/edit?usp=drivesdk" TargetMode="External"/><Relationship Id="rId997" Type="http://schemas.openxmlformats.org/officeDocument/2006/relationships/hyperlink" Target="https://docs.google.com/document/d/1_vPKwFEnjGvdlsTNxWqzhuuNaJX6IqoyntnhDn_EdxM/edit?usp=drivesdk" TargetMode="External"/><Relationship Id="rId512" Type="http://schemas.openxmlformats.org/officeDocument/2006/relationships/hyperlink" Target="https://docs.google.com/document/d/1SrY2bdqaqceQFS0VbdDKHuuJnpjcDngZBnIvuevl7x4/edit?usp=drivesdk" TargetMode="External"/><Relationship Id="rId754" Type="http://schemas.openxmlformats.org/officeDocument/2006/relationships/hyperlink" Target="https://docs.google.com/document/d/1W9P9JcL-LC8k-rFaLZmMyhJxh1HQn6iIukpzB1sUAFU/edit?usp=drivesdk" TargetMode="External"/><Relationship Id="rId996" Type="http://schemas.openxmlformats.org/officeDocument/2006/relationships/hyperlink" Target="https://docs.google.com/document/d/1_vPKwFEnjGvdlsTNxWqzhuuNaJX6IqoyntnhDn_EdxM/edit?usp=drivesdk" TargetMode="External"/><Relationship Id="rId511" Type="http://schemas.openxmlformats.org/officeDocument/2006/relationships/hyperlink" Target="https://docs.google.com/document/d/1SrY2bdqaqceQFS0VbdDKHuuJnpjcDngZBnIvuevl7x4/edit?usp=drivesdk" TargetMode="External"/><Relationship Id="rId753" Type="http://schemas.openxmlformats.org/officeDocument/2006/relationships/hyperlink" Target="https://docs.google.com/document/d/1W9P9JcL-LC8k-rFaLZmMyhJxh1HQn6iIukpzB1sUAFU/edit?usp=drivesdk" TargetMode="External"/><Relationship Id="rId995" Type="http://schemas.openxmlformats.org/officeDocument/2006/relationships/hyperlink" Target="https://docs.google.com/document/d/16PPgnCb9x0xMXj1SnTaZCVq5sWD6l4rWltjaXJ_Of3M/edit?usp=drivesdk" TargetMode="External"/><Relationship Id="rId518" Type="http://schemas.openxmlformats.org/officeDocument/2006/relationships/hyperlink" Target="https://docs.google.com/document/d/1SrY2bdqaqceQFS0VbdDKHuuJnpjcDngZBnIvuevl7x4/edit?usp=drivesdk" TargetMode="External"/><Relationship Id="rId517" Type="http://schemas.openxmlformats.org/officeDocument/2006/relationships/hyperlink" Target="https://docs.google.com/document/d/1SrY2bdqaqceQFS0VbdDKHuuJnpjcDngZBnIvuevl7x4/edit?usp=drivesdk" TargetMode="External"/><Relationship Id="rId759" Type="http://schemas.openxmlformats.org/officeDocument/2006/relationships/hyperlink" Target="https://docs.google.com/document/d/1W9P9JcL-LC8k-rFaLZmMyhJxh1HQn6iIukpzB1sUAFU/edit?usp=drivesdk" TargetMode="External"/><Relationship Id="rId516" Type="http://schemas.openxmlformats.org/officeDocument/2006/relationships/hyperlink" Target="https://docs.google.com/document/d/1SrY2bdqaqceQFS0VbdDKHuuJnpjcDngZBnIvuevl7x4/edit?usp=drivesdk" TargetMode="External"/><Relationship Id="rId758" Type="http://schemas.openxmlformats.org/officeDocument/2006/relationships/hyperlink" Target="https://docs.google.com/document/d/1W9P9JcL-LC8k-rFaLZmMyhJxh1HQn6iIukpzB1sUAFU/edit?usp=drivesdk" TargetMode="External"/><Relationship Id="rId515" Type="http://schemas.openxmlformats.org/officeDocument/2006/relationships/hyperlink" Target="https://docs.google.com/document/d/1SrY2bdqaqceQFS0VbdDKHuuJnpjcDngZBnIvuevl7x4/edit?usp=drivesdk" TargetMode="External"/><Relationship Id="rId757" Type="http://schemas.openxmlformats.org/officeDocument/2006/relationships/hyperlink" Target="https://docs.google.com/document/d/1W9P9JcL-LC8k-rFaLZmMyhJxh1HQn6iIukpzB1sUAFU/edit?usp=drivesdk" TargetMode="External"/><Relationship Id="rId999" Type="http://schemas.openxmlformats.org/officeDocument/2006/relationships/hyperlink" Target="https://docs.google.com/document/d/1_vPKwFEnjGvdlsTNxWqzhuuNaJX6IqoyntnhDn_EdxM/edit?usp=drivesdk" TargetMode="External"/><Relationship Id="rId15" Type="http://schemas.openxmlformats.org/officeDocument/2006/relationships/hyperlink" Target="https://docs.google.com/open?id=1kD2eLH7Asnu83kjTVOV3tHJHaj_MBJzuGGBeFPpv8Zg" TargetMode="External"/><Relationship Id="rId990" Type="http://schemas.openxmlformats.org/officeDocument/2006/relationships/hyperlink" Target="https://docs.google.com/document/d/16PPgnCb9x0xMXj1SnTaZCVq5sWD6l4rWltjaXJ_Of3M/edit?usp=drivesdk" TargetMode="External"/><Relationship Id="rId14" Type="http://schemas.openxmlformats.org/officeDocument/2006/relationships/hyperlink" Target="https://docs.google.com/open?id=1kD2eLH7Asnu83kjTVOV3tHJHaj_MBJzuGGBeFPpv8Zg" TargetMode="External"/><Relationship Id="rId17" Type="http://schemas.openxmlformats.org/officeDocument/2006/relationships/hyperlink" Target="https://docs.google.com/open?id=1kD2eLH7Asnu83kjTVOV3tHJHaj_MBJzuGGBeFPpv8Zg" TargetMode="External"/><Relationship Id="rId16" Type="http://schemas.openxmlformats.org/officeDocument/2006/relationships/hyperlink" Target="https://docs.google.com/open?id=1kD2eLH7Asnu83kjTVOV3tHJHaj_MBJzuGGBeFPpv8Zg" TargetMode="External"/><Relationship Id="rId1340" Type="http://schemas.openxmlformats.org/officeDocument/2006/relationships/hyperlink" Target="https://docs.google.com/document/d/1QiVG5lw7EeSTsuedVT-HhhvYNwjuZslq1Rrm1RyEuf0/edit?usp=drivesdk" TargetMode="External"/><Relationship Id="rId19" Type="http://schemas.openxmlformats.org/officeDocument/2006/relationships/hyperlink" Target="https://docs.google.com/open?id=1kD2eLH7Asnu83kjTVOV3tHJHaj_MBJzuGGBeFPpv8Zg" TargetMode="External"/><Relationship Id="rId510" Type="http://schemas.openxmlformats.org/officeDocument/2006/relationships/hyperlink" Target="https://docs.google.com/document/d/1SrY2bdqaqceQFS0VbdDKHuuJnpjcDngZBnIvuevl7x4/edit?usp=drivesdk" TargetMode="External"/><Relationship Id="rId752" Type="http://schemas.openxmlformats.org/officeDocument/2006/relationships/hyperlink" Target="https://docs.google.com/document/d/1W9P9JcL-LC8k-rFaLZmMyhJxh1HQn6iIukpzB1sUAFU/edit?usp=drivesdk" TargetMode="External"/><Relationship Id="rId994" Type="http://schemas.openxmlformats.org/officeDocument/2006/relationships/hyperlink" Target="https://docs.google.com/document/d/16PPgnCb9x0xMXj1SnTaZCVq5sWD6l4rWltjaXJ_Of3M/edit?usp=drivesdk" TargetMode="External"/><Relationship Id="rId1341" Type="http://schemas.openxmlformats.org/officeDocument/2006/relationships/hyperlink" Target="https://docs.google.com/document/d/1QiVG5lw7EeSTsuedVT-HhhvYNwjuZslq1Rrm1RyEuf0/edit?usp=drivesdk" TargetMode="External"/><Relationship Id="rId18" Type="http://schemas.openxmlformats.org/officeDocument/2006/relationships/hyperlink" Target="https://docs.google.com/open?id=1kD2eLH7Asnu83kjTVOV3tHJHaj_MBJzuGGBeFPpv8Zg" TargetMode="External"/><Relationship Id="rId751" Type="http://schemas.openxmlformats.org/officeDocument/2006/relationships/hyperlink" Target="https://docs.google.com/document/d/1W9P9JcL-LC8k-rFaLZmMyhJxh1HQn6iIukpzB1sUAFU/edit?usp=drivesdk" TargetMode="External"/><Relationship Id="rId993" Type="http://schemas.openxmlformats.org/officeDocument/2006/relationships/hyperlink" Target="https://docs.google.com/document/d/16PPgnCb9x0xMXj1SnTaZCVq5sWD6l4rWltjaXJ_Of3M/edit?usp=drivesdk" TargetMode="External"/><Relationship Id="rId1100" Type="http://schemas.openxmlformats.org/officeDocument/2006/relationships/hyperlink" Target="https://docs.google.com/document/d/1xO0zSbJ66Xh8ESVO1JbsmCh5DmH2ce7xOY0OoyTYl_4/edit?usp=drivesdk" TargetMode="External"/><Relationship Id="rId1342" Type="http://schemas.openxmlformats.org/officeDocument/2006/relationships/hyperlink" Target="https://docs.google.com/document/d/1QiVG5lw7EeSTsuedVT-HhhvYNwjuZslq1Rrm1RyEuf0/edit?usp=drivesdk" TargetMode="External"/><Relationship Id="rId750" Type="http://schemas.openxmlformats.org/officeDocument/2006/relationships/hyperlink" Target="https://docs.google.com/document/d/1W9P9JcL-LC8k-rFaLZmMyhJxh1HQn6iIukpzB1sUAFU/edit?usp=drivesdk" TargetMode="External"/><Relationship Id="rId992" Type="http://schemas.openxmlformats.org/officeDocument/2006/relationships/hyperlink" Target="https://docs.google.com/document/d/16PPgnCb9x0xMXj1SnTaZCVq5sWD6l4rWltjaXJ_Of3M/edit?usp=drivesdk" TargetMode="External"/><Relationship Id="rId1101" Type="http://schemas.openxmlformats.org/officeDocument/2006/relationships/hyperlink" Target="https://docs.google.com/document/d/1xO0zSbJ66Xh8ESVO1JbsmCh5DmH2ce7xOY0OoyTYl_4/edit?usp=drivesdk" TargetMode="External"/><Relationship Id="rId1343" Type="http://schemas.openxmlformats.org/officeDocument/2006/relationships/hyperlink" Target="https://docs.google.com/document/d/1QiVG5lw7EeSTsuedVT-HhhvYNwjuZslq1Rrm1RyEuf0/edit?usp=drivesdk" TargetMode="External"/><Relationship Id="rId991" Type="http://schemas.openxmlformats.org/officeDocument/2006/relationships/hyperlink" Target="https://docs.google.com/document/d/16PPgnCb9x0xMXj1SnTaZCVq5sWD6l4rWltjaXJ_Of3M/edit?usp=drivesdk" TargetMode="External"/><Relationship Id="rId1102" Type="http://schemas.openxmlformats.org/officeDocument/2006/relationships/hyperlink" Target="https://docs.google.com/document/d/1xO0zSbJ66Xh8ESVO1JbsmCh5DmH2ce7xOY0OoyTYl_4/edit?usp=drivesdk" TargetMode="External"/><Relationship Id="rId1344" Type="http://schemas.openxmlformats.org/officeDocument/2006/relationships/hyperlink" Target="https://docs.google.com/document/d/1QiVG5lw7EeSTsuedVT-HhhvYNwjuZslq1Rrm1RyEuf0/edit?usp=drivesdk" TargetMode="External"/><Relationship Id="rId84" Type="http://schemas.openxmlformats.org/officeDocument/2006/relationships/hyperlink" Target="https://docs.google.com/open?id=132HzGhCHyR6R0lNb3SgMlNXMPi7nQY4Ls1hXrpodhk8" TargetMode="External"/><Relationship Id="rId83" Type="http://schemas.openxmlformats.org/officeDocument/2006/relationships/hyperlink" Target="https://docs.google.com/open?id=132HzGhCHyR6R0lNb3SgMlNXMPi7nQY4Ls1hXrpodhk8" TargetMode="External"/><Relationship Id="rId86" Type="http://schemas.openxmlformats.org/officeDocument/2006/relationships/hyperlink" Target="https://docs.google.com/open?id=132HzGhCHyR6R0lNb3SgMlNXMPi7nQY4Ls1hXrpodhk8" TargetMode="External"/><Relationship Id="rId85" Type="http://schemas.openxmlformats.org/officeDocument/2006/relationships/hyperlink" Target="https://docs.google.com/open?id=132HzGhCHyR6R0lNb3SgMlNXMPi7nQY4Ls1hXrpodhk8" TargetMode="External"/><Relationship Id="rId88" Type="http://schemas.openxmlformats.org/officeDocument/2006/relationships/hyperlink" Target="https://docs.google.com/open?id=132HzGhCHyR6R0lNb3SgMlNXMPi7nQY4Ls1hXrpodhk8" TargetMode="External"/><Relationship Id="rId87" Type="http://schemas.openxmlformats.org/officeDocument/2006/relationships/hyperlink" Target="https://docs.google.com/open?id=132HzGhCHyR6R0lNb3SgMlNXMPi7nQY4Ls1hXrpodhk8" TargetMode="External"/><Relationship Id="rId89" Type="http://schemas.openxmlformats.org/officeDocument/2006/relationships/hyperlink" Target="https://docs.google.com/open?id=132HzGhCHyR6R0lNb3SgMlNXMPi7nQY4Ls1hXrpodhk8" TargetMode="External"/><Relationship Id="rId709" Type="http://schemas.openxmlformats.org/officeDocument/2006/relationships/hyperlink" Target="https://docs.google.com/document/d/1cDmZn4fukuP2g-reRn14tOvcQG2ptELfYeKtjbz3kXU/edit?usp=drivesdk" TargetMode="External"/><Relationship Id="rId708" Type="http://schemas.openxmlformats.org/officeDocument/2006/relationships/hyperlink" Target="https://docs.google.com/document/d/1cDmZn4fukuP2g-reRn14tOvcQG2ptELfYeKtjbz3kXU/edit?usp=drivesdk" TargetMode="External"/><Relationship Id="rId707" Type="http://schemas.openxmlformats.org/officeDocument/2006/relationships/hyperlink" Target="https://docs.google.com/document/d/1cDmZn4fukuP2g-reRn14tOvcQG2ptELfYeKtjbz3kXU/edit?usp=drivesdk" TargetMode="External"/><Relationship Id="rId949" Type="http://schemas.openxmlformats.org/officeDocument/2006/relationships/hyperlink" Target="https://docs.google.com/document/d/1nno4M0ju2gsBg5dj8OOxw3TNFgkFU7O19Tn38xHx0EU/edit?usp=drivesdk" TargetMode="External"/><Relationship Id="rId706" Type="http://schemas.openxmlformats.org/officeDocument/2006/relationships/hyperlink" Target="https://docs.google.com/document/d/16IINwPNDRO3jFBR3GvJu4aS-gtI3uxmPUHM9o6IS9n8/edit?usp=drivesdk" TargetMode="External"/><Relationship Id="rId948" Type="http://schemas.openxmlformats.org/officeDocument/2006/relationships/hyperlink" Target="https://docs.google.com/document/d/1H09qnEE7NbjkTardR9R0IiTtfTjK2h_aIdY9C6iXhfk/edit?usp=drivesdk" TargetMode="External"/><Relationship Id="rId80" Type="http://schemas.openxmlformats.org/officeDocument/2006/relationships/hyperlink" Target="https://docs.google.com/open?id=1E-IWktvBhXZkLe3d_xFouVPZjkFvOsP25i5UAnPZSgk" TargetMode="External"/><Relationship Id="rId82" Type="http://schemas.openxmlformats.org/officeDocument/2006/relationships/hyperlink" Target="https://docs.google.com/open?id=132HzGhCHyR6R0lNb3SgMlNXMPi7nQY4Ls1hXrpodhk8" TargetMode="External"/><Relationship Id="rId81" Type="http://schemas.openxmlformats.org/officeDocument/2006/relationships/hyperlink" Target="https://docs.google.com/open?id=132HzGhCHyR6R0lNb3SgMlNXMPi7nQY4Ls1hXrpodhk8" TargetMode="External"/><Relationship Id="rId701" Type="http://schemas.openxmlformats.org/officeDocument/2006/relationships/hyperlink" Target="https://docs.google.com/document/d/16IINwPNDRO3jFBR3GvJu4aS-gtI3uxmPUHM9o6IS9n8/edit?usp=drivesdk" TargetMode="External"/><Relationship Id="rId943" Type="http://schemas.openxmlformats.org/officeDocument/2006/relationships/hyperlink" Target="https://docs.google.com/document/d/1H09qnEE7NbjkTardR9R0IiTtfTjK2h_aIdY9C6iXhfk/edit?usp=drivesdk" TargetMode="External"/><Relationship Id="rId700" Type="http://schemas.openxmlformats.org/officeDocument/2006/relationships/hyperlink" Target="https://docs.google.com/document/d/16IINwPNDRO3jFBR3GvJu4aS-gtI3uxmPUHM9o6IS9n8/edit?usp=drivesdk" TargetMode="External"/><Relationship Id="rId942" Type="http://schemas.openxmlformats.org/officeDocument/2006/relationships/hyperlink" Target="https://docs.google.com/document/d/1H09qnEE7NbjkTardR9R0IiTtfTjK2h_aIdY9C6iXhfk/edit?usp=drivesdk" TargetMode="External"/><Relationship Id="rId941" Type="http://schemas.openxmlformats.org/officeDocument/2006/relationships/hyperlink" Target="https://docs.google.com/document/d/1H09qnEE7NbjkTardR9R0IiTtfTjK2h_aIdY9C6iXhfk/edit?usp=drivesdk" TargetMode="External"/><Relationship Id="rId940" Type="http://schemas.openxmlformats.org/officeDocument/2006/relationships/hyperlink" Target="https://docs.google.com/document/d/1H09qnEE7NbjkTardR9R0IiTtfTjK2h_aIdY9C6iXhfk/edit?usp=drivesdk" TargetMode="External"/><Relationship Id="rId705" Type="http://schemas.openxmlformats.org/officeDocument/2006/relationships/hyperlink" Target="https://docs.google.com/document/d/16IINwPNDRO3jFBR3GvJu4aS-gtI3uxmPUHM9o6IS9n8/edit?usp=drivesdk" TargetMode="External"/><Relationship Id="rId947" Type="http://schemas.openxmlformats.org/officeDocument/2006/relationships/hyperlink" Target="https://docs.google.com/document/d/1H09qnEE7NbjkTardR9R0IiTtfTjK2h_aIdY9C6iXhfk/edit?usp=drivesdk" TargetMode="External"/><Relationship Id="rId704" Type="http://schemas.openxmlformats.org/officeDocument/2006/relationships/hyperlink" Target="https://docs.google.com/document/d/16IINwPNDRO3jFBR3GvJu4aS-gtI3uxmPUHM9o6IS9n8/edit?usp=drivesdk" TargetMode="External"/><Relationship Id="rId946" Type="http://schemas.openxmlformats.org/officeDocument/2006/relationships/hyperlink" Target="https://docs.google.com/document/d/1H09qnEE7NbjkTardR9R0IiTtfTjK2h_aIdY9C6iXhfk/edit?usp=drivesdk" TargetMode="External"/><Relationship Id="rId703" Type="http://schemas.openxmlformats.org/officeDocument/2006/relationships/hyperlink" Target="https://docs.google.com/document/d/16IINwPNDRO3jFBR3GvJu4aS-gtI3uxmPUHM9o6IS9n8/edit?usp=drivesdk" TargetMode="External"/><Relationship Id="rId945" Type="http://schemas.openxmlformats.org/officeDocument/2006/relationships/hyperlink" Target="https://docs.google.com/document/d/1H09qnEE7NbjkTardR9R0IiTtfTjK2h_aIdY9C6iXhfk/edit?usp=drivesdk" TargetMode="External"/><Relationship Id="rId702" Type="http://schemas.openxmlformats.org/officeDocument/2006/relationships/hyperlink" Target="https://docs.google.com/document/d/16IINwPNDRO3jFBR3GvJu4aS-gtI3uxmPUHM9o6IS9n8/edit?usp=drivesdk" TargetMode="External"/><Relationship Id="rId944" Type="http://schemas.openxmlformats.org/officeDocument/2006/relationships/hyperlink" Target="https://docs.google.com/document/d/1H09qnEE7NbjkTardR9R0IiTtfTjK2h_aIdY9C6iXhfk/edit?usp=drivesdk" TargetMode="External"/><Relationship Id="rId73" Type="http://schemas.openxmlformats.org/officeDocument/2006/relationships/hyperlink" Target="https://docs.google.com/open?id=1E-IWktvBhXZkLe3d_xFouVPZjkFvOsP25i5UAnPZSgk" TargetMode="External"/><Relationship Id="rId72" Type="http://schemas.openxmlformats.org/officeDocument/2006/relationships/hyperlink" Target="https://docs.google.com/open?id=1E-IWktvBhXZkLe3d_xFouVPZjkFvOsP25i5UAnPZSgk" TargetMode="External"/><Relationship Id="rId75" Type="http://schemas.openxmlformats.org/officeDocument/2006/relationships/hyperlink" Target="https://docs.google.com/open?id=1E-IWktvBhXZkLe3d_xFouVPZjkFvOsP25i5UAnPZSgk" TargetMode="External"/><Relationship Id="rId74" Type="http://schemas.openxmlformats.org/officeDocument/2006/relationships/hyperlink" Target="https://docs.google.com/open?id=1E-IWktvBhXZkLe3d_xFouVPZjkFvOsP25i5UAnPZSgk" TargetMode="External"/><Relationship Id="rId77" Type="http://schemas.openxmlformats.org/officeDocument/2006/relationships/hyperlink" Target="https://docs.google.com/open?id=1E-IWktvBhXZkLe3d_xFouVPZjkFvOsP25i5UAnPZSgk" TargetMode="External"/><Relationship Id="rId76" Type="http://schemas.openxmlformats.org/officeDocument/2006/relationships/hyperlink" Target="https://docs.google.com/open?id=1E-IWktvBhXZkLe3d_xFouVPZjkFvOsP25i5UAnPZSgk" TargetMode="External"/><Relationship Id="rId79" Type="http://schemas.openxmlformats.org/officeDocument/2006/relationships/hyperlink" Target="https://docs.google.com/open?id=1E-IWktvBhXZkLe3d_xFouVPZjkFvOsP25i5UAnPZSgk" TargetMode="External"/><Relationship Id="rId78" Type="http://schemas.openxmlformats.org/officeDocument/2006/relationships/hyperlink" Target="https://docs.google.com/open?id=1E-IWktvBhXZkLe3d_xFouVPZjkFvOsP25i5UAnPZSgk" TargetMode="External"/><Relationship Id="rId939" Type="http://schemas.openxmlformats.org/officeDocument/2006/relationships/hyperlink" Target="https://docs.google.com/document/d/1H09qnEE7NbjkTardR9R0IiTtfTjK2h_aIdY9C6iXhfk/edit?usp=drivesdk" TargetMode="External"/><Relationship Id="rId938" Type="http://schemas.openxmlformats.org/officeDocument/2006/relationships/hyperlink" Target="https://docs.google.com/document/d/1H09qnEE7NbjkTardR9R0IiTtfTjK2h_aIdY9C6iXhfk/edit?usp=drivesdk" TargetMode="External"/><Relationship Id="rId937" Type="http://schemas.openxmlformats.org/officeDocument/2006/relationships/hyperlink" Target="https://docs.google.com/document/d/1H09qnEE7NbjkTardR9R0IiTtfTjK2h_aIdY9C6iXhfk/edit?usp=drivesdk" TargetMode="External"/><Relationship Id="rId71" Type="http://schemas.openxmlformats.org/officeDocument/2006/relationships/hyperlink" Target="https://docs.google.com/open?id=1XyR-gGGQqxrvJMnZqhdZV1vpn6mpIchIDaWT1iTjQ1s" TargetMode="External"/><Relationship Id="rId70" Type="http://schemas.openxmlformats.org/officeDocument/2006/relationships/hyperlink" Target="https://docs.google.com/open?id=1XyR-gGGQqxrvJMnZqhdZV1vpn6mpIchIDaWT1iTjQ1s" TargetMode="External"/><Relationship Id="rId932" Type="http://schemas.openxmlformats.org/officeDocument/2006/relationships/hyperlink" Target="https://docs.google.com/document/d/17dce6K9QeihQUF6ohKe6ivsDGIkMX3SfgvZYs-N_PM4/edit?usp=drivesdk" TargetMode="External"/><Relationship Id="rId931" Type="http://schemas.openxmlformats.org/officeDocument/2006/relationships/hyperlink" Target="https://docs.google.com/document/d/17dce6K9QeihQUF6ohKe6ivsDGIkMX3SfgvZYs-N_PM4/edit?usp=drivesdk" TargetMode="External"/><Relationship Id="rId930" Type="http://schemas.openxmlformats.org/officeDocument/2006/relationships/hyperlink" Target="https://docs.google.com/document/d/17dce6K9QeihQUF6ohKe6ivsDGIkMX3SfgvZYs-N_PM4/edit?usp=drivesdk" TargetMode="External"/><Relationship Id="rId936" Type="http://schemas.openxmlformats.org/officeDocument/2006/relationships/hyperlink" Target="https://docs.google.com/document/d/1H09qnEE7NbjkTardR9R0IiTtfTjK2h_aIdY9C6iXhfk/edit?usp=drivesdk" TargetMode="External"/><Relationship Id="rId935" Type="http://schemas.openxmlformats.org/officeDocument/2006/relationships/hyperlink" Target="https://docs.google.com/document/d/1H09qnEE7NbjkTardR9R0IiTtfTjK2h_aIdY9C6iXhfk/edit?usp=drivesdk" TargetMode="External"/><Relationship Id="rId934" Type="http://schemas.openxmlformats.org/officeDocument/2006/relationships/hyperlink" Target="https://docs.google.com/document/d/1H09qnEE7NbjkTardR9R0IiTtfTjK2h_aIdY9C6iXhfk/edit?usp=drivesdk" TargetMode="External"/><Relationship Id="rId933" Type="http://schemas.openxmlformats.org/officeDocument/2006/relationships/hyperlink" Target="https://docs.google.com/document/d/1H09qnEE7NbjkTardR9R0IiTtfTjK2h_aIdY9C6iXhfk/edit?usp=drivesdk" TargetMode="External"/><Relationship Id="rId62" Type="http://schemas.openxmlformats.org/officeDocument/2006/relationships/hyperlink" Target="https://docs.google.com/open?id=1XyR-gGGQqxrvJMnZqhdZV1vpn6mpIchIDaWT1iTjQ1s" TargetMode="External"/><Relationship Id="rId1312" Type="http://schemas.openxmlformats.org/officeDocument/2006/relationships/hyperlink" Target="https://docs.google.com/document/d/1sGcpbdfW3sM2aKGzUP8l53x0eUBh7kARrsi5h08Y2RU/edit?usp=drivesdk" TargetMode="External"/><Relationship Id="rId61" Type="http://schemas.openxmlformats.org/officeDocument/2006/relationships/hyperlink" Target="https://docs.google.com/open?id=1XyR-gGGQqxrvJMnZqhdZV1vpn6mpIchIDaWT1iTjQ1s" TargetMode="External"/><Relationship Id="rId1313" Type="http://schemas.openxmlformats.org/officeDocument/2006/relationships/hyperlink" Target="https://docs.google.com/document/d/1sGcpbdfW3sM2aKGzUP8l53x0eUBh7kARrsi5h08Y2RU/edit?usp=drivesdk" TargetMode="External"/><Relationship Id="rId64" Type="http://schemas.openxmlformats.org/officeDocument/2006/relationships/hyperlink" Target="https://docs.google.com/open?id=1XyR-gGGQqxrvJMnZqhdZV1vpn6mpIchIDaWT1iTjQ1s" TargetMode="External"/><Relationship Id="rId1314" Type="http://schemas.openxmlformats.org/officeDocument/2006/relationships/hyperlink" Target="https://docs.google.com/document/d/1sGcpbdfW3sM2aKGzUP8l53x0eUBh7kARrsi5h08Y2RU/edit?usp=drivesdk" TargetMode="External"/><Relationship Id="rId63" Type="http://schemas.openxmlformats.org/officeDocument/2006/relationships/hyperlink" Target="https://docs.google.com/open?id=1XyR-gGGQqxrvJMnZqhdZV1vpn6mpIchIDaWT1iTjQ1s" TargetMode="External"/><Relationship Id="rId1315" Type="http://schemas.openxmlformats.org/officeDocument/2006/relationships/hyperlink" Target="https://docs.google.com/document/d/1sGcpbdfW3sM2aKGzUP8l53x0eUBh7kARrsi5h08Y2RU/edit?usp=drivesdk" TargetMode="External"/><Relationship Id="rId66" Type="http://schemas.openxmlformats.org/officeDocument/2006/relationships/hyperlink" Target="https://docs.google.com/open?id=1XyR-gGGQqxrvJMnZqhdZV1vpn6mpIchIDaWT1iTjQ1s" TargetMode="External"/><Relationship Id="rId1316" Type="http://schemas.openxmlformats.org/officeDocument/2006/relationships/hyperlink" Target="https://docs.google.com/document/d/1sGcpbdfW3sM2aKGzUP8l53x0eUBh7kARrsi5h08Y2RU/edit?usp=drivesdk" TargetMode="External"/><Relationship Id="rId65" Type="http://schemas.openxmlformats.org/officeDocument/2006/relationships/hyperlink" Target="https://docs.google.com/open?id=1XyR-gGGQqxrvJMnZqhdZV1vpn6mpIchIDaWT1iTjQ1s" TargetMode="External"/><Relationship Id="rId1317" Type="http://schemas.openxmlformats.org/officeDocument/2006/relationships/hyperlink" Target="https://docs.google.com/document/d/1sGcpbdfW3sM2aKGzUP8l53x0eUBh7kARrsi5h08Y2RU/edit?usp=drivesdk" TargetMode="External"/><Relationship Id="rId68" Type="http://schemas.openxmlformats.org/officeDocument/2006/relationships/hyperlink" Target="https://docs.google.com/open?id=1XyR-gGGQqxrvJMnZqhdZV1vpn6mpIchIDaWT1iTjQ1s" TargetMode="External"/><Relationship Id="rId1318" Type="http://schemas.openxmlformats.org/officeDocument/2006/relationships/hyperlink" Target="https://docs.google.com/document/d/1PRxs6Xs7Yvmvc5DqFjLCSlnrdiu3CXlk58iq9c243zs/edit?usp=drivesdk" TargetMode="External"/><Relationship Id="rId67" Type="http://schemas.openxmlformats.org/officeDocument/2006/relationships/hyperlink" Target="https://docs.google.com/open?id=1XyR-gGGQqxrvJMnZqhdZV1vpn6mpIchIDaWT1iTjQ1s" TargetMode="External"/><Relationship Id="rId1319" Type="http://schemas.openxmlformats.org/officeDocument/2006/relationships/hyperlink" Target="https://docs.google.com/document/d/1PRxs6Xs7Yvmvc5DqFjLCSlnrdiu3CXlk58iq9c243zs/edit?usp=drivesdk" TargetMode="External"/><Relationship Id="rId729" Type="http://schemas.openxmlformats.org/officeDocument/2006/relationships/hyperlink" Target="https://docs.google.com/document/d/1owc5RY8nT0EqHg8jvY5m1Zyu91wARntv3k8fvZ-Hblg/edit?usp=drivesdk" TargetMode="External"/><Relationship Id="rId728" Type="http://schemas.openxmlformats.org/officeDocument/2006/relationships/hyperlink" Target="https://docs.google.com/document/d/1owc5RY8nT0EqHg8jvY5m1Zyu91wARntv3k8fvZ-Hblg/edit?usp=drivesdk" TargetMode="External"/><Relationship Id="rId60" Type="http://schemas.openxmlformats.org/officeDocument/2006/relationships/hyperlink" Target="https://docs.google.com/open?id=1XyR-gGGQqxrvJMnZqhdZV1vpn6mpIchIDaWT1iTjQ1s" TargetMode="External"/><Relationship Id="rId723" Type="http://schemas.openxmlformats.org/officeDocument/2006/relationships/hyperlink" Target="https://docs.google.com/document/d/1IhcHRreygwh92gMSH7mXtfzAUIISBJFZ6AvZrwHiUxw/edit?usp=drivesdk" TargetMode="External"/><Relationship Id="rId965" Type="http://schemas.openxmlformats.org/officeDocument/2006/relationships/hyperlink" Target="https://docs.google.com/document/d/1iPLPwWjtRqSOjN_y97lgKffhNUB0bvvrgFc37SeRfRg/edit?usp=drivesdk" TargetMode="External"/><Relationship Id="rId722" Type="http://schemas.openxmlformats.org/officeDocument/2006/relationships/hyperlink" Target="https://docs.google.com/document/d/1IhcHRreygwh92gMSH7mXtfzAUIISBJFZ6AvZrwHiUxw/edit?usp=drivesdk" TargetMode="External"/><Relationship Id="rId964" Type="http://schemas.openxmlformats.org/officeDocument/2006/relationships/hyperlink" Target="https://docs.google.com/document/d/1iPLPwWjtRqSOjN_y97lgKffhNUB0bvvrgFc37SeRfRg/edit?usp=drivesdk" TargetMode="External"/><Relationship Id="rId721" Type="http://schemas.openxmlformats.org/officeDocument/2006/relationships/hyperlink" Target="https://docs.google.com/document/d/1IhcHRreygwh92gMSH7mXtfzAUIISBJFZ6AvZrwHiUxw/edit?usp=drivesdk" TargetMode="External"/><Relationship Id="rId963" Type="http://schemas.openxmlformats.org/officeDocument/2006/relationships/hyperlink" Target="https://docs.google.com/document/d/1iPLPwWjtRqSOjN_y97lgKffhNUB0bvvrgFc37SeRfRg/edit?usp=drivesdk" TargetMode="External"/><Relationship Id="rId720" Type="http://schemas.openxmlformats.org/officeDocument/2006/relationships/hyperlink" Target="https://docs.google.com/document/d/1IhcHRreygwh92gMSH7mXtfzAUIISBJFZ6AvZrwHiUxw/edit?usp=drivesdk" TargetMode="External"/><Relationship Id="rId962" Type="http://schemas.openxmlformats.org/officeDocument/2006/relationships/hyperlink" Target="https://docs.google.com/document/d/1nno4M0ju2gsBg5dj8OOxw3TNFgkFU7O19Tn38xHx0EU/edit?usp=drivesdk" TargetMode="External"/><Relationship Id="rId727" Type="http://schemas.openxmlformats.org/officeDocument/2006/relationships/hyperlink" Target="https://docs.google.com/document/d/1owc5RY8nT0EqHg8jvY5m1Zyu91wARntv3k8fvZ-Hblg/edit?usp=drivesdk" TargetMode="External"/><Relationship Id="rId969" Type="http://schemas.openxmlformats.org/officeDocument/2006/relationships/hyperlink" Target="https://docs.google.com/document/d/1iPLPwWjtRqSOjN_y97lgKffhNUB0bvvrgFc37SeRfRg/edit?usp=drivesdk" TargetMode="External"/><Relationship Id="rId726" Type="http://schemas.openxmlformats.org/officeDocument/2006/relationships/hyperlink" Target="https://docs.google.com/document/d/1owc5RY8nT0EqHg8jvY5m1Zyu91wARntv3k8fvZ-Hblg/edit?usp=drivesdk" TargetMode="External"/><Relationship Id="rId968" Type="http://schemas.openxmlformats.org/officeDocument/2006/relationships/hyperlink" Target="https://docs.google.com/document/d/1iPLPwWjtRqSOjN_y97lgKffhNUB0bvvrgFc37SeRfRg/edit?usp=drivesdk" TargetMode="External"/><Relationship Id="rId725" Type="http://schemas.openxmlformats.org/officeDocument/2006/relationships/hyperlink" Target="https://docs.google.com/document/d/1owc5RY8nT0EqHg8jvY5m1Zyu91wARntv3k8fvZ-Hblg/edit?usp=drivesdk" TargetMode="External"/><Relationship Id="rId967" Type="http://schemas.openxmlformats.org/officeDocument/2006/relationships/hyperlink" Target="https://docs.google.com/document/d/1iPLPwWjtRqSOjN_y97lgKffhNUB0bvvrgFc37SeRfRg/edit?usp=drivesdk" TargetMode="External"/><Relationship Id="rId724" Type="http://schemas.openxmlformats.org/officeDocument/2006/relationships/hyperlink" Target="https://docs.google.com/document/d/1owc5RY8nT0EqHg8jvY5m1Zyu91wARntv3k8fvZ-Hblg/edit?usp=drivesdk" TargetMode="External"/><Relationship Id="rId966" Type="http://schemas.openxmlformats.org/officeDocument/2006/relationships/hyperlink" Target="https://docs.google.com/document/d/1iPLPwWjtRqSOjN_y97lgKffhNUB0bvvrgFc37SeRfRg/edit?usp=drivesdk" TargetMode="External"/><Relationship Id="rId69" Type="http://schemas.openxmlformats.org/officeDocument/2006/relationships/hyperlink" Target="https://docs.google.com/open?id=1XyR-gGGQqxrvJMnZqhdZV1vpn6mpIchIDaWT1iTjQ1s" TargetMode="External"/><Relationship Id="rId961" Type="http://schemas.openxmlformats.org/officeDocument/2006/relationships/hyperlink" Target="https://docs.google.com/document/d/1nno4M0ju2gsBg5dj8OOxw3TNFgkFU7O19Tn38xHx0EU/edit?usp=drivesdk" TargetMode="External"/><Relationship Id="rId960" Type="http://schemas.openxmlformats.org/officeDocument/2006/relationships/hyperlink" Target="https://docs.google.com/document/d/1nno4M0ju2gsBg5dj8OOxw3TNFgkFU7O19Tn38xHx0EU/edit?usp=drivesdk" TargetMode="External"/><Relationship Id="rId1310" Type="http://schemas.openxmlformats.org/officeDocument/2006/relationships/hyperlink" Target="https://docs.google.com/document/d/1sGcpbdfW3sM2aKGzUP8l53x0eUBh7kARrsi5h08Y2RU/edit?usp=drivesdk" TargetMode="External"/><Relationship Id="rId1311" Type="http://schemas.openxmlformats.org/officeDocument/2006/relationships/hyperlink" Target="https://docs.google.com/document/d/1sGcpbdfW3sM2aKGzUP8l53x0eUBh7kARrsi5h08Y2RU/edit?usp=drivesdk" TargetMode="External"/><Relationship Id="rId51" Type="http://schemas.openxmlformats.org/officeDocument/2006/relationships/hyperlink" Target="https://docs.google.com/open?id=1wcUZA2AJJAnk_DF1yBKKxtgeMyEd3R2aHREKq4PwKlM" TargetMode="External"/><Relationship Id="rId1301" Type="http://schemas.openxmlformats.org/officeDocument/2006/relationships/hyperlink" Target="https://docs.google.com/document/d/1sGcpbdfW3sM2aKGzUP8l53x0eUBh7kARrsi5h08Y2RU/edit?usp=drivesdk" TargetMode="External"/><Relationship Id="rId50" Type="http://schemas.openxmlformats.org/officeDocument/2006/relationships/hyperlink" Target="https://docs.google.com/open?id=1wcUZA2AJJAnk_DF1yBKKxtgeMyEd3R2aHREKq4PwKlM" TargetMode="External"/><Relationship Id="rId1302" Type="http://schemas.openxmlformats.org/officeDocument/2006/relationships/hyperlink" Target="https://docs.google.com/document/d/1sGcpbdfW3sM2aKGzUP8l53x0eUBh7kARrsi5h08Y2RU/edit?usp=drivesdk" TargetMode="External"/><Relationship Id="rId53" Type="http://schemas.openxmlformats.org/officeDocument/2006/relationships/hyperlink" Target="https://docs.google.com/open?id=1wcUZA2AJJAnk_DF1yBKKxtgeMyEd3R2aHREKq4PwKlM" TargetMode="External"/><Relationship Id="rId1303" Type="http://schemas.openxmlformats.org/officeDocument/2006/relationships/hyperlink" Target="https://docs.google.com/document/d/1sGcpbdfW3sM2aKGzUP8l53x0eUBh7kARrsi5h08Y2RU/edit?usp=drivesdk" TargetMode="External"/><Relationship Id="rId52" Type="http://schemas.openxmlformats.org/officeDocument/2006/relationships/hyperlink" Target="https://docs.google.com/open?id=1wcUZA2AJJAnk_DF1yBKKxtgeMyEd3R2aHREKq4PwKlM" TargetMode="External"/><Relationship Id="rId1304" Type="http://schemas.openxmlformats.org/officeDocument/2006/relationships/hyperlink" Target="https://docs.google.com/document/d/1sGcpbdfW3sM2aKGzUP8l53x0eUBh7kARrsi5h08Y2RU/edit?usp=drivesdk" TargetMode="External"/><Relationship Id="rId55" Type="http://schemas.openxmlformats.org/officeDocument/2006/relationships/hyperlink" Target="https://docs.google.com/open?id=1wcUZA2AJJAnk_DF1yBKKxtgeMyEd3R2aHREKq4PwKlM" TargetMode="External"/><Relationship Id="rId1305" Type="http://schemas.openxmlformats.org/officeDocument/2006/relationships/hyperlink" Target="https://docs.google.com/document/d/1sGcpbdfW3sM2aKGzUP8l53x0eUBh7kARrsi5h08Y2RU/edit?usp=drivesdk" TargetMode="External"/><Relationship Id="rId54" Type="http://schemas.openxmlformats.org/officeDocument/2006/relationships/hyperlink" Target="https://docs.google.com/open?id=1wcUZA2AJJAnk_DF1yBKKxtgeMyEd3R2aHREKq4PwKlM" TargetMode="External"/><Relationship Id="rId1306" Type="http://schemas.openxmlformats.org/officeDocument/2006/relationships/hyperlink" Target="https://docs.google.com/document/d/1sGcpbdfW3sM2aKGzUP8l53x0eUBh7kARrsi5h08Y2RU/edit?usp=drivesdk" TargetMode="External"/><Relationship Id="rId57" Type="http://schemas.openxmlformats.org/officeDocument/2006/relationships/hyperlink" Target="https://docs.google.com/open?id=1wcUZA2AJJAnk_DF1yBKKxtgeMyEd3R2aHREKq4PwKlM" TargetMode="External"/><Relationship Id="rId1307" Type="http://schemas.openxmlformats.org/officeDocument/2006/relationships/hyperlink" Target="https://docs.google.com/document/d/1sGcpbdfW3sM2aKGzUP8l53x0eUBh7kARrsi5h08Y2RU/edit?usp=drivesdk" TargetMode="External"/><Relationship Id="rId56" Type="http://schemas.openxmlformats.org/officeDocument/2006/relationships/hyperlink" Target="https://docs.google.com/open?id=1wcUZA2AJJAnk_DF1yBKKxtgeMyEd3R2aHREKq4PwKlM" TargetMode="External"/><Relationship Id="rId1308" Type="http://schemas.openxmlformats.org/officeDocument/2006/relationships/hyperlink" Target="https://docs.google.com/document/d/1sGcpbdfW3sM2aKGzUP8l53x0eUBh7kARrsi5h08Y2RU/edit?usp=drivesdk" TargetMode="External"/><Relationship Id="rId1309" Type="http://schemas.openxmlformats.org/officeDocument/2006/relationships/hyperlink" Target="https://docs.google.com/document/d/1sGcpbdfW3sM2aKGzUP8l53x0eUBh7kARrsi5h08Y2RU/edit?usp=drivesdk" TargetMode="External"/><Relationship Id="rId719" Type="http://schemas.openxmlformats.org/officeDocument/2006/relationships/hyperlink" Target="https://docs.google.com/document/d/1IhcHRreygwh92gMSH7mXtfzAUIISBJFZ6AvZrwHiUxw/edit?usp=drivesdk" TargetMode="External"/><Relationship Id="rId718" Type="http://schemas.openxmlformats.org/officeDocument/2006/relationships/hyperlink" Target="https://docs.google.com/document/d/1IhcHRreygwh92gMSH7mXtfzAUIISBJFZ6AvZrwHiUxw/edit?usp=drivesdk" TargetMode="External"/><Relationship Id="rId717" Type="http://schemas.openxmlformats.org/officeDocument/2006/relationships/hyperlink" Target="https://docs.google.com/document/d/1IhcHRreygwh92gMSH7mXtfzAUIISBJFZ6AvZrwHiUxw/edit?usp=drivesdk" TargetMode="External"/><Relationship Id="rId959" Type="http://schemas.openxmlformats.org/officeDocument/2006/relationships/hyperlink" Target="https://docs.google.com/document/d/1nno4M0ju2gsBg5dj8OOxw3TNFgkFU7O19Tn38xHx0EU/edit?usp=drivesdk" TargetMode="External"/><Relationship Id="rId712" Type="http://schemas.openxmlformats.org/officeDocument/2006/relationships/hyperlink" Target="https://docs.google.com/document/d/1cDmZn4fukuP2g-reRn14tOvcQG2ptELfYeKtjbz3kXU/edit?usp=drivesdk" TargetMode="External"/><Relationship Id="rId954" Type="http://schemas.openxmlformats.org/officeDocument/2006/relationships/hyperlink" Target="https://docs.google.com/document/d/1nno4M0ju2gsBg5dj8OOxw3TNFgkFU7O19Tn38xHx0EU/edit?usp=drivesdk" TargetMode="External"/><Relationship Id="rId711" Type="http://schemas.openxmlformats.org/officeDocument/2006/relationships/hyperlink" Target="https://docs.google.com/document/d/1cDmZn4fukuP2g-reRn14tOvcQG2ptELfYeKtjbz3kXU/edit?usp=drivesdk" TargetMode="External"/><Relationship Id="rId953" Type="http://schemas.openxmlformats.org/officeDocument/2006/relationships/hyperlink" Target="https://docs.google.com/document/d/1nno4M0ju2gsBg5dj8OOxw3TNFgkFU7O19Tn38xHx0EU/edit?usp=drivesdk" TargetMode="External"/><Relationship Id="rId710" Type="http://schemas.openxmlformats.org/officeDocument/2006/relationships/hyperlink" Target="https://docs.google.com/document/d/1cDmZn4fukuP2g-reRn14tOvcQG2ptELfYeKtjbz3kXU/edit?usp=drivesdk" TargetMode="External"/><Relationship Id="rId952" Type="http://schemas.openxmlformats.org/officeDocument/2006/relationships/hyperlink" Target="https://docs.google.com/document/d/1nno4M0ju2gsBg5dj8OOxw3TNFgkFU7O19Tn38xHx0EU/edit?usp=drivesdk" TargetMode="External"/><Relationship Id="rId951" Type="http://schemas.openxmlformats.org/officeDocument/2006/relationships/hyperlink" Target="https://docs.google.com/document/d/1nno4M0ju2gsBg5dj8OOxw3TNFgkFU7O19Tn38xHx0EU/edit?usp=drivesdk" TargetMode="External"/><Relationship Id="rId716" Type="http://schemas.openxmlformats.org/officeDocument/2006/relationships/hyperlink" Target="https://docs.google.com/document/d/1cDmZn4fukuP2g-reRn14tOvcQG2ptELfYeKtjbz3kXU/edit?usp=drivesdk" TargetMode="External"/><Relationship Id="rId958" Type="http://schemas.openxmlformats.org/officeDocument/2006/relationships/hyperlink" Target="https://docs.google.com/document/d/1nno4M0ju2gsBg5dj8OOxw3TNFgkFU7O19Tn38xHx0EU/edit?usp=drivesdk" TargetMode="External"/><Relationship Id="rId715" Type="http://schemas.openxmlformats.org/officeDocument/2006/relationships/hyperlink" Target="https://docs.google.com/document/d/1cDmZn4fukuP2g-reRn14tOvcQG2ptELfYeKtjbz3kXU/edit?usp=drivesdk" TargetMode="External"/><Relationship Id="rId957" Type="http://schemas.openxmlformats.org/officeDocument/2006/relationships/hyperlink" Target="https://docs.google.com/document/d/1nno4M0ju2gsBg5dj8OOxw3TNFgkFU7O19Tn38xHx0EU/edit?usp=drivesdk" TargetMode="External"/><Relationship Id="rId714" Type="http://schemas.openxmlformats.org/officeDocument/2006/relationships/hyperlink" Target="https://docs.google.com/document/d/1cDmZn4fukuP2g-reRn14tOvcQG2ptELfYeKtjbz3kXU/edit?usp=drivesdk" TargetMode="External"/><Relationship Id="rId956" Type="http://schemas.openxmlformats.org/officeDocument/2006/relationships/hyperlink" Target="https://docs.google.com/document/d/1nno4M0ju2gsBg5dj8OOxw3TNFgkFU7O19Tn38xHx0EU/edit?usp=drivesdk" TargetMode="External"/><Relationship Id="rId713" Type="http://schemas.openxmlformats.org/officeDocument/2006/relationships/hyperlink" Target="https://docs.google.com/document/d/1cDmZn4fukuP2g-reRn14tOvcQG2ptELfYeKtjbz3kXU/edit?usp=drivesdk" TargetMode="External"/><Relationship Id="rId955" Type="http://schemas.openxmlformats.org/officeDocument/2006/relationships/hyperlink" Target="https://docs.google.com/document/d/1nno4M0ju2gsBg5dj8OOxw3TNFgkFU7O19Tn38xHx0EU/edit?usp=drivesdk" TargetMode="External"/><Relationship Id="rId59" Type="http://schemas.openxmlformats.org/officeDocument/2006/relationships/hyperlink" Target="https://docs.google.com/open?id=1XyR-gGGQqxrvJMnZqhdZV1vpn6mpIchIDaWT1iTjQ1s" TargetMode="External"/><Relationship Id="rId58" Type="http://schemas.openxmlformats.org/officeDocument/2006/relationships/hyperlink" Target="https://docs.google.com/open?id=1XyR-gGGQqxrvJMnZqhdZV1vpn6mpIchIDaWT1iTjQ1s" TargetMode="External"/><Relationship Id="rId950" Type="http://schemas.openxmlformats.org/officeDocument/2006/relationships/hyperlink" Target="https://docs.google.com/document/d/1nno4M0ju2gsBg5dj8OOxw3TNFgkFU7O19Tn38xHx0EU/edit?usp=drivesdk" TargetMode="External"/><Relationship Id="rId1300" Type="http://schemas.openxmlformats.org/officeDocument/2006/relationships/hyperlink" Target="https://docs.google.com/document/d/1sGcpbdfW3sM2aKGzUP8l53x0eUBh7kARrsi5h08Y2RU/edit?usp=drivesdk" TargetMode="External"/><Relationship Id="rId590" Type="http://schemas.openxmlformats.org/officeDocument/2006/relationships/hyperlink" Target="https://docs.google.com/document/d/15H5PW-Prpx3dHq5pzCA-X5-e2XDcAa-Fla3euW5D6cM/edit?usp=drivesdk" TargetMode="External"/><Relationship Id="rId107" Type="http://schemas.openxmlformats.org/officeDocument/2006/relationships/hyperlink" Target="https://docs.google.com/open?id=11E8R1bQ23GhGNvZHieQ3c1jxoTYeFGgRIMKaucCavAM" TargetMode="External"/><Relationship Id="rId349" Type="http://schemas.openxmlformats.org/officeDocument/2006/relationships/hyperlink" Target="https://docs.google.com/document/d/1EKSIXaOeGTh0KHVKnI6OFK2kH-866_IO9MFalQEBP4s/edit?usp=drivesdk" TargetMode="External"/><Relationship Id="rId106" Type="http://schemas.openxmlformats.org/officeDocument/2006/relationships/hyperlink" Target="https://docs.google.com/open?id=11E8R1bQ23GhGNvZHieQ3c1jxoTYeFGgRIMKaucCavAM" TargetMode="External"/><Relationship Id="rId348" Type="http://schemas.openxmlformats.org/officeDocument/2006/relationships/hyperlink" Target="https://docs.google.com/document/d/1EKSIXaOeGTh0KHVKnI6OFK2kH-866_IO9MFalQEBP4s/edit?usp=drivesdk" TargetMode="External"/><Relationship Id="rId105" Type="http://schemas.openxmlformats.org/officeDocument/2006/relationships/hyperlink" Target="https://docs.google.com/open?id=11E8R1bQ23GhGNvZHieQ3c1jxoTYeFGgRIMKaucCavAM" TargetMode="External"/><Relationship Id="rId347" Type="http://schemas.openxmlformats.org/officeDocument/2006/relationships/hyperlink" Target="https://docs.google.com/document/d/1EKSIXaOeGTh0KHVKnI6OFK2kH-866_IO9MFalQEBP4s/edit?usp=drivesdk" TargetMode="External"/><Relationship Id="rId589" Type="http://schemas.openxmlformats.org/officeDocument/2006/relationships/hyperlink" Target="https://docs.google.com/document/d/15H5PW-Prpx3dHq5pzCA-X5-e2XDcAa-Fla3euW5D6cM/edit?usp=drivesdk" TargetMode="External"/><Relationship Id="rId104" Type="http://schemas.openxmlformats.org/officeDocument/2006/relationships/hyperlink" Target="https://docs.google.com/open?id=11E8R1bQ23GhGNvZHieQ3c1jxoTYeFGgRIMKaucCavAM" TargetMode="External"/><Relationship Id="rId346" Type="http://schemas.openxmlformats.org/officeDocument/2006/relationships/hyperlink" Target="https://docs.google.com/document/d/1EKSIXaOeGTh0KHVKnI6OFK2kH-866_IO9MFalQEBP4s/edit?usp=drivesdk" TargetMode="External"/><Relationship Id="rId588" Type="http://schemas.openxmlformats.org/officeDocument/2006/relationships/hyperlink" Target="https://docs.google.com/document/d/15H5PW-Prpx3dHq5pzCA-X5-e2XDcAa-Fla3euW5D6cM/edit?usp=drivesdk" TargetMode="External"/><Relationship Id="rId109" Type="http://schemas.openxmlformats.org/officeDocument/2006/relationships/hyperlink" Target="https://docs.google.com/open?id=11E8R1bQ23GhGNvZHieQ3c1jxoTYeFGgRIMKaucCavAM" TargetMode="External"/><Relationship Id="rId1170" Type="http://schemas.openxmlformats.org/officeDocument/2006/relationships/hyperlink" Target="https://docs.google.com/document/d/12vvWuzE77bTqABGANu3N1z7EJU7b8lmyvCGijjDbULs/edit?usp=drivesdk" TargetMode="External"/><Relationship Id="rId108" Type="http://schemas.openxmlformats.org/officeDocument/2006/relationships/hyperlink" Target="https://docs.google.com/open?id=11E8R1bQ23GhGNvZHieQ3c1jxoTYeFGgRIMKaucCavAM" TargetMode="External"/><Relationship Id="rId1171" Type="http://schemas.openxmlformats.org/officeDocument/2006/relationships/hyperlink" Target="https://docs.google.com/document/d/12vvWuzE77bTqABGANu3N1z7EJU7b8lmyvCGijjDbULs/edit?usp=drivesdk" TargetMode="External"/><Relationship Id="rId341" Type="http://schemas.openxmlformats.org/officeDocument/2006/relationships/hyperlink" Target="https://docs.google.com/document/d/1EKSIXaOeGTh0KHVKnI6OFK2kH-866_IO9MFalQEBP4s/edit?usp=drivesdk" TargetMode="External"/><Relationship Id="rId583" Type="http://schemas.openxmlformats.org/officeDocument/2006/relationships/hyperlink" Target="https://docs.google.com/document/d/1bmb7ACIMSe8qB8bFNxm9Mq2kpQTpavFmYVLqjs4oE5I/edit?usp=drivesdk" TargetMode="External"/><Relationship Id="rId1172" Type="http://schemas.openxmlformats.org/officeDocument/2006/relationships/hyperlink" Target="https://docs.google.com/document/d/12vvWuzE77bTqABGANu3N1z7EJU7b8lmyvCGijjDbULs/edit?usp=drivesdk" TargetMode="External"/><Relationship Id="rId340" Type="http://schemas.openxmlformats.org/officeDocument/2006/relationships/hyperlink" Target="https://docs.google.com/document/d/13P-5TW8VxYTtpjrU4yljrKeUJDidsNeTj2jusg82E8I/edit?usp=drivesdk" TargetMode="External"/><Relationship Id="rId582" Type="http://schemas.openxmlformats.org/officeDocument/2006/relationships/hyperlink" Target="https://docs.google.com/document/d/1bmb7ACIMSe8qB8bFNxm9Mq2kpQTpavFmYVLqjs4oE5I/edit?usp=drivesdk" TargetMode="External"/><Relationship Id="rId1173" Type="http://schemas.openxmlformats.org/officeDocument/2006/relationships/hyperlink" Target="https://docs.google.com/document/d/12vvWuzE77bTqABGANu3N1z7EJU7b8lmyvCGijjDbULs/edit?usp=drivesdk" TargetMode="External"/><Relationship Id="rId581" Type="http://schemas.openxmlformats.org/officeDocument/2006/relationships/hyperlink" Target="https://docs.google.com/document/d/1bmb7ACIMSe8qB8bFNxm9Mq2kpQTpavFmYVLqjs4oE5I/edit?usp=drivesdk" TargetMode="External"/><Relationship Id="rId1174" Type="http://schemas.openxmlformats.org/officeDocument/2006/relationships/hyperlink" Target="https://docs.google.com/document/d/12vvWuzE77bTqABGANu3N1z7EJU7b8lmyvCGijjDbULs/edit?usp=drivesdk" TargetMode="External"/><Relationship Id="rId580" Type="http://schemas.openxmlformats.org/officeDocument/2006/relationships/hyperlink" Target="https://docs.google.com/document/d/1bmb7ACIMSe8qB8bFNxm9Mq2kpQTpavFmYVLqjs4oE5I/edit?usp=drivesdk" TargetMode="External"/><Relationship Id="rId1175" Type="http://schemas.openxmlformats.org/officeDocument/2006/relationships/hyperlink" Target="https://docs.google.com/document/d/12vvWuzE77bTqABGANu3N1z7EJU7b8lmyvCGijjDbULs/edit?usp=drivesdk" TargetMode="External"/><Relationship Id="rId103" Type="http://schemas.openxmlformats.org/officeDocument/2006/relationships/hyperlink" Target="https://docs.google.com/open?id=11E8R1bQ23GhGNvZHieQ3c1jxoTYeFGgRIMKaucCavAM" TargetMode="External"/><Relationship Id="rId345" Type="http://schemas.openxmlformats.org/officeDocument/2006/relationships/hyperlink" Target="https://docs.google.com/document/d/1EKSIXaOeGTh0KHVKnI6OFK2kH-866_IO9MFalQEBP4s/edit?usp=drivesdk" TargetMode="External"/><Relationship Id="rId587" Type="http://schemas.openxmlformats.org/officeDocument/2006/relationships/hyperlink" Target="https://docs.google.com/document/d/15H5PW-Prpx3dHq5pzCA-X5-e2XDcAa-Fla3euW5D6cM/edit?usp=drivesdk" TargetMode="External"/><Relationship Id="rId1176" Type="http://schemas.openxmlformats.org/officeDocument/2006/relationships/hyperlink" Target="https://docs.google.com/document/d/12vvWuzE77bTqABGANu3N1z7EJU7b8lmyvCGijjDbULs/edit?usp=drivesdk" TargetMode="External"/><Relationship Id="rId102" Type="http://schemas.openxmlformats.org/officeDocument/2006/relationships/hyperlink" Target="https://docs.google.com/open?id=11E8R1bQ23GhGNvZHieQ3c1jxoTYeFGgRIMKaucCavAM" TargetMode="External"/><Relationship Id="rId344" Type="http://schemas.openxmlformats.org/officeDocument/2006/relationships/hyperlink" Target="https://docs.google.com/document/d/1EKSIXaOeGTh0KHVKnI6OFK2kH-866_IO9MFalQEBP4s/edit?usp=drivesdk" TargetMode="External"/><Relationship Id="rId586" Type="http://schemas.openxmlformats.org/officeDocument/2006/relationships/hyperlink" Target="https://docs.google.com/document/d/1bmb7ACIMSe8qB8bFNxm9Mq2kpQTpavFmYVLqjs4oE5I/edit?usp=drivesdk" TargetMode="External"/><Relationship Id="rId1177" Type="http://schemas.openxmlformats.org/officeDocument/2006/relationships/hyperlink" Target="https://docs.google.com/document/d/12vvWuzE77bTqABGANu3N1z7EJU7b8lmyvCGijjDbULs/edit?usp=drivesdk" TargetMode="External"/><Relationship Id="rId101" Type="http://schemas.openxmlformats.org/officeDocument/2006/relationships/hyperlink" Target="https://docs.google.com/open?id=1uxkHlxkrkOknNySWSHkw1E-w8qxRa4QcDIS3ofTHz6E" TargetMode="External"/><Relationship Id="rId343" Type="http://schemas.openxmlformats.org/officeDocument/2006/relationships/hyperlink" Target="https://docs.google.com/document/d/1EKSIXaOeGTh0KHVKnI6OFK2kH-866_IO9MFalQEBP4s/edit?usp=drivesdk" TargetMode="External"/><Relationship Id="rId585" Type="http://schemas.openxmlformats.org/officeDocument/2006/relationships/hyperlink" Target="https://docs.google.com/document/d/1bmb7ACIMSe8qB8bFNxm9Mq2kpQTpavFmYVLqjs4oE5I/edit?usp=drivesdk" TargetMode="External"/><Relationship Id="rId1178" Type="http://schemas.openxmlformats.org/officeDocument/2006/relationships/hyperlink" Target="https://docs.google.com/document/d/12vvWuzE77bTqABGANu3N1z7EJU7b8lmyvCGijjDbULs/edit?usp=drivesdk" TargetMode="External"/><Relationship Id="rId100" Type="http://schemas.openxmlformats.org/officeDocument/2006/relationships/hyperlink" Target="https://docs.google.com/open?id=1uxkHlxkrkOknNySWSHkw1E-w8qxRa4QcDIS3ofTHz6E" TargetMode="External"/><Relationship Id="rId342" Type="http://schemas.openxmlformats.org/officeDocument/2006/relationships/hyperlink" Target="https://docs.google.com/document/d/1EKSIXaOeGTh0KHVKnI6OFK2kH-866_IO9MFalQEBP4s/edit?usp=drivesdk" TargetMode="External"/><Relationship Id="rId584" Type="http://schemas.openxmlformats.org/officeDocument/2006/relationships/hyperlink" Target="https://docs.google.com/document/d/1bmb7ACIMSe8qB8bFNxm9Mq2kpQTpavFmYVLqjs4oE5I/edit?usp=drivesdk" TargetMode="External"/><Relationship Id="rId1179" Type="http://schemas.openxmlformats.org/officeDocument/2006/relationships/hyperlink" Target="https://docs.google.com/document/d/12vvWuzE77bTqABGANu3N1z7EJU7b8lmyvCGijjDbULs/edit?usp=drivesdk" TargetMode="External"/><Relationship Id="rId1169" Type="http://schemas.openxmlformats.org/officeDocument/2006/relationships/hyperlink" Target="https://docs.google.com/document/d/1-Gz6BPy8Y7skF1Id2r5eR4N4KX3iWQxvN48Lbnkn2c4/edit?usp=drivesdk" TargetMode="External"/><Relationship Id="rId338" Type="http://schemas.openxmlformats.org/officeDocument/2006/relationships/hyperlink" Target="https://docs.google.com/document/d/13P-5TW8VxYTtpjrU4yljrKeUJDidsNeTj2jusg82E8I/edit?usp=drivesdk" TargetMode="External"/><Relationship Id="rId337" Type="http://schemas.openxmlformats.org/officeDocument/2006/relationships/hyperlink" Target="https://docs.google.com/document/d/13P-5TW8VxYTtpjrU4yljrKeUJDidsNeTj2jusg82E8I/edit?usp=drivesdk" TargetMode="External"/><Relationship Id="rId579" Type="http://schemas.openxmlformats.org/officeDocument/2006/relationships/hyperlink" Target="https://docs.google.com/document/d/1bmb7ACIMSe8qB8bFNxm9Mq2kpQTpavFmYVLqjs4oE5I/edit?usp=drivesdk" TargetMode="External"/><Relationship Id="rId336" Type="http://schemas.openxmlformats.org/officeDocument/2006/relationships/hyperlink" Target="https://docs.google.com/document/d/13P-5TW8VxYTtpjrU4yljrKeUJDidsNeTj2jusg82E8I/edit?usp=drivesdk" TargetMode="External"/><Relationship Id="rId578" Type="http://schemas.openxmlformats.org/officeDocument/2006/relationships/hyperlink" Target="https://docs.google.com/document/d/1bmb7ACIMSe8qB8bFNxm9Mq2kpQTpavFmYVLqjs4oE5I/edit?usp=drivesdk" TargetMode="External"/><Relationship Id="rId335" Type="http://schemas.openxmlformats.org/officeDocument/2006/relationships/hyperlink" Target="https://docs.google.com/document/d/13P-5TW8VxYTtpjrU4yljrKeUJDidsNeTj2jusg82E8I/edit?usp=drivesdk" TargetMode="External"/><Relationship Id="rId577" Type="http://schemas.openxmlformats.org/officeDocument/2006/relationships/hyperlink" Target="https://docs.google.com/document/d/1bmb7ACIMSe8qB8bFNxm9Mq2kpQTpavFmYVLqjs4oE5I/edit?usp=drivesdk" TargetMode="External"/><Relationship Id="rId339" Type="http://schemas.openxmlformats.org/officeDocument/2006/relationships/hyperlink" Target="https://docs.google.com/document/d/13P-5TW8VxYTtpjrU4yljrKeUJDidsNeTj2jusg82E8I/edit?usp=drivesdk" TargetMode="External"/><Relationship Id="rId1160" Type="http://schemas.openxmlformats.org/officeDocument/2006/relationships/hyperlink" Target="https://docs.google.com/document/d/14VRgRLyNUYgaNxw0kKNn8mTszxAq1OVf8O5CO-74PYQ/edit?usp=drivesdk" TargetMode="External"/><Relationship Id="rId330" Type="http://schemas.openxmlformats.org/officeDocument/2006/relationships/hyperlink" Target="https://docs.google.com/document/d/19ffcUYEZMcB_FGt-yW3muA_Tz_CiRDTUiRDAY9okDk4/edit?usp=drivesdk" TargetMode="External"/><Relationship Id="rId572" Type="http://schemas.openxmlformats.org/officeDocument/2006/relationships/hyperlink" Target="https://docs.google.com/document/d/1r5-l9qWxqyg8YNS-752au49k0FaTqK_75GfXi-pS6ns/edit?usp=drivesdk" TargetMode="External"/><Relationship Id="rId1161" Type="http://schemas.openxmlformats.org/officeDocument/2006/relationships/hyperlink" Target="https://docs.google.com/document/d/14VRgRLyNUYgaNxw0kKNn8mTszxAq1OVf8O5CO-74PYQ/edit?usp=drivesdk" TargetMode="External"/><Relationship Id="rId571" Type="http://schemas.openxmlformats.org/officeDocument/2006/relationships/hyperlink" Target="https://docs.google.com/document/d/1r5-l9qWxqyg8YNS-752au49k0FaTqK_75GfXi-pS6ns/edit?usp=drivesdk" TargetMode="External"/><Relationship Id="rId1162" Type="http://schemas.openxmlformats.org/officeDocument/2006/relationships/hyperlink" Target="https://docs.google.com/document/d/1-Gz6BPy8Y7skF1Id2r5eR4N4KX3iWQxvN48Lbnkn2c4/edit?usp=drivesdk" TargetMode="External"/><Relationship Id="rId570" Type="http://schemas.openxmlformats.org/officeDocument/2006/relationships/hyperlink" Target="https://docs.google.com/document/d/1r5-l9qWxqyg8YNS-752au49k0FaTqK_75GfXi-pS6ns/edit?usp=drivesdk" TargetMode="External"/><Relationship Id="rId1163" Type="http://schemas.openxmlformats.org/officeDocument/2006/relationships/hyperlink" Target="https://docs.google.com/document/d/1-Gz6BPy8Y7skF1Id2r5eR4N4KX3iWQxvN48Lbnkn2c4/edit?usp=drivesdk" TargetMode="External"/><Relationship Id="rId1164" Type="http://schemas.openxmlformats.org/officeDocument/2006/relationships/hyperlink" Target="https://docs.google.com/document/d/1-Gz6BPy8Y7skF1Id2r5eR4N4KX3iWQxvN48Lbnkn2c4/edit?usp=drivesdk" TargetMode="External"/><Relationship Id="rId334" Type="http://schemas.openxmlformats.org/officeDocument/2006/relationships/hyperlink" Target="https://docs.google.com/document/d/13P-5TW8VxYTtpjrU4yljrKeUJDidsNeTj2jusg82E8I/edit?usp=drivesdk" TargetMode="External"/><Relationship Id="rId576" Type="http://schemas.openxmlformats.org/officeDocument/2006/relationships/hyperlink" Target="https://docs.google.com/document/d/1r5-l9qWxqyg8YNS-752au49k0FaTqK_75GfXi-pS6ns/edit?usp=drivesdk" TargetMode="External"/><Relationship Id="rId1165" Type="http://schemas.openxmlformats.org/officeDocument/2006/relationships/hyperlink" Target="https://docs.google.com/document/d/1-Gz6BPy8Y7skF1Id2r5eR4N4KX3iWQxvN48Lbnkn2c4/edit?usp=drivesdk" TargetMode="External"/><Relationship Id="rId333" Type="http://schemas.openxmlformats.org/officeDocument/2006/relationships/hyperlink" Target="https://docs.google.com/document/d/13P-5TW8VxYTtpjrU4yljrKeUJDidsNeTj2jusg82E8I/edit?usp=drivesdk" TargetMode="External"/><Relationship Id="rId575" Type="http://schemas.openxmlformats.org/officeDocument/2006/relationships/hyperlink" Target="https://docs.google.com/document/d/1r5-l9qWxqyg8YNS-752au49k0FaTqK_75GfXi-pS6ns/edit?usp=drivesdk" TargetMode="External"/><Relationship Id="rId1166" Type="http://schemas.openxmlformats.org/officeDocument/2006/relationships/hyperlink" Target="https://docs.google.com/document/d/1-Gz6BPy8Y7skF1Id2r5eR4N4KX3iWQxvN48Lbnkn2c4/edit?usp=drivesdk" TargetMode="External"/><Relationship Id="rId332" Type="http://schemas.openxmlformats.org/officeDocument/2006/relationships/hyperlink" Target="https://docs.google.com/document/d/13P-5TW8VxYTtpjrU4yljrKeUJDidsNeTj2jusg82E8I/edit?usp=drivesdk" TargetMode="External"/><Relationship Id="rId574" Type="http://schemas.openxmlformats.org/officeDocument/2006/relationships/hyperlink" Target="https://docs.google.com/document/d/1r5-l9qWxqyg8YNS-752au49k0FaTqK_75GfXi-pS6ns/edit?usp=drivesdk" TargetMode="External"/><Relationship Id="rId1167" Type="http://schemas.openxmlformats.org/officeDocument/2006/relationships/hyperlink" Target="https://docs.google.com/document/d/1-Gz6BPy8Y7skF1Id2r5eR4N4KX3iWQxvN48Lbnkn2c4/edit?usp=drivesdk" TargetMode="External"/><Relationship Id="rId331" Type="http://schemas.openxmlformats.org/officeDocument/2006/relationships/hyperlink" Target="https://docs.google.com/document/d/13P-5TW8VxYTtpjrU4yljrKeUJDidsNeTj2jusg82E8I/edit?usp=drivesdk" TargetMode="External"/><Relationship Id="rId573" Type="http://schemas.openxmlformats.org/officeDocument/2006/relationships/hyperlink" Target="https://docs.google.com/document/d/1r5-l9qWxqyg8YNS-752au49k0FaTqK_75GfXi-pS6ns/edit?usp=drivesdk" TargetMode="External"/><Relationship Id="rId1168" Type="http://schemas.openxmlformats.org/officeDocument/2006/relationships/hyperlink" Target="https://docs.google.com/document/d/1-Gz6BPy8Y7skF1Id2r5eR4N4KX3iWQxvN48Lbnkn2c4/edit?usp=drivesdk" TargetMode="External"/><Relationship Id="rId370" Type="http://schemas.openxmlformats.org/officeDocument/2006/relationships/hyperlink" Target="https://docs.google.com/document/d/1NnZ5QULpRRFVoArqk6Vb_8ANfczxR_IxeORrCU44D8I/edit?usp=drivesdk" TargetMode="External"/><Relationship Id="rId129" Type="http://schemas.openxmlformats.org/officeDocument/2006/relationships/hyperlink" Target="https://docs.google.com/open?id=1LQOv5EYH_R2CeIxPcHJt5glQfrI6PypAsdhVvkmyaJo" TargetMode="External"/><Relationship Id="rId128" Type="http://schemas.openxmlformats.org/officeDocument/2006/relationships/hyperlink" Target="https://docs.google.com/open?id=1LQOv5EYH_R2CeIxPcHJt5glQfrI6PypAsdhVvkmyaJo" TargetMode="External"/><Relationship Id="rId127" Type="http://schemas.openxmlformats.org/officeDocument/2006/relationships/hyperlink" Target="https://docs.google.com/open?id=1LQOv5EYH_R2CeIxPcHJt5glQfrI6PypAsdhVvkmyaJo" TargetMode="External"/><Relationship Id="rId369" Type="http://schemas.openxmlformats.org/officeDocument/2006/relationships/hyperlink" Target="https://docs.google.com/document/d/1NnZ5QULpRRFVoArqk6Vb_8ANfczxR_IxeORrCU44D8I/edit?usp=drivesdk" TargetMode="External"/><Relationship Id="rId126" Type="http://schemas.openxmlformats.org/officeDocument/2006/relationships/hyperlink" Target="https://docs.google.com/open?id=1LQOv5EYH_R2CeIxPcHJt5glQfrI6PypAsdhVvkmyaJo" TargetMode="External"/><Relationship Id="rId368" Type="http://schemas.openxmlformats.org/officeDocument/2006/relationships/hyperlink" Target="https://docs.google.com/document/d/1NnZ5QULpRRFVoArqk6Vb_8ANfczxR_IxeORrCU44D8I/edit?usp=drivesdk" TargetMode="External"/><Relationship Id="rId1190" Type="http://schemas.openxmlformats.org/officeDocument/2006/relationships/hyperlink" Target="https://docs.google.com/document/d/1rxzirks6dJMSxg10lLisV08-ZtUkmmQmgLw5gkZE1ss/edit?usp=drivesdk" TargetMode="External"/><Relationship Id="rId1191" Type="http://schemas.openxmlformats.org/officeDocument/2006/relationships/hyperlink" Target="https://docs.google.com/document/d/1rxzirks6dJMSxg10lLisV08-ZtUkmmQmgLw5gkZE1ss/edit?usp=drivesdk" TargetMode="External"/><Relationship Id="rId1192" Type="http://schemas.openxmlformats.org/officeDocument/2006/relationships/hyperlink" Target="https://docs.google.com/document/d/1rxzirks6dJMSxg10lLisV08-ZtUkmmQmgLw5gkZE1ss/edit?usp=drivesdk" TargetMode="External"/><Relationship Id="rId1193" Type="http://schemas.openxmlformats.org/officeDocument/2006/relationships/hyperlink" Target="https://docs.google.com/document/d/1rxzirks6dJMSxg10lLisV08-ZtUkmmQmgLw5gkZE1ss/edit?usp=drivesdk" TargetMode="External"/><Relationship Id="rId121" Type="http://schemas.openxmlformats.org/officeDocument/2006/relationships/hyperlink" Target="https://docs.google.com/open?id=1LQOv5EYH_R2CeIxPcHJt5glQfrI6PypAsdhVvkmyaJo" TargetMode="External"/><Relationship Id="rId363" Type="http://schemas.openxmlformats.org/officeDocument/2006/relationships/hyperlink" Target="https://docs.google.com/document/d/1TWex2w7xgiyIXBbDMsTqLIfbuucVxd_1PRfyZkAViHw/edit?usp=drivesdk" TargetMode="External"/><Relationship Id="rId1194" Type="http://schemas.openxmlformats.org/officeDocument/2006/relationships/hyperlink" Target="https://docs.google.com/document/d/1rxzirks6dJMSxg10lLisV08-ZtUkmmQmgLw5gkZE1ss/edit?usp=drivesdk" TargetMode="External"/><Relationship Id="rId120" Type="http://schemas.openxmlformats.org/officeDocument/2006/relationships/hyperlink" Target="https://docs.google.com/open?id=11E8R1bQ23GhGNvZHieQ3c1jxoTYeFGgRIMKaucCavAM" TargetMode="External"/><Relationship Id="rId362" Type="http://schemas.openxmlformats.org/officeDocument/2006/relationships/hyperlink" Target="https://docs.google.com/document/d/1TWex2w7xgiyIXBbDMsTqLIfbuucVxd_1PRfyZkAViHw/edit?usp=drivesdk" TargetMode="External"/><Relationship Id="rId1195" Type="http://schemas.openxmlformats.org/officeDocument/2006/relationships/hyperlink" Target="https://docs.google.com/document/d/1rxzirks6dJMSxg10lLisV08-ZtUkmmQmgLw5gkZE1ss/edit?usp=drivesdk" TargetMode="External"/><Relationship Id="rId361" Type="http://schemas.openxmlformats.org/officeDocument/2006/relationships/hyperlink" Target="https://docs.google.com/document/d/1TWex2w7xgiyIXBbDMsTqLIfbuucVxd_1PRfyZkAViHw/edit?usp=drivesdk" TargetMode="External"/><Relationship Id="rId1196" Type="http://schemas.openxmlformats.org/officeDocument/2006/relationships/hyperlink" Target="https://docs.google.com/document/d/1rxzirks6dJMSxg10lLisV08-ZtUkmmQmgLw5gkZE1ss/edit?usp=drivesdk" TargetMode="External"/><Relationship Id="rId360" Type="http://schemas.openxmlformats.org/officeDocument/2006/relationships/hyperlink" Target="https://docs.google.com/document/d/1TWex2w7xgiyIXBbDMsTqLIfbuucVxd_1PRfyZkAViHw/edit?usp=drivesdk" TargetMode="External"/><Relationship Id="rId1197" Type="http://schemas.openxmlformats.org/officeDocument/2006/relationships/hyperlink" Target="https://docs.google.com/document/d/1BwdCkLDYS8pLmTfAbloDN7Hn7Q3UmYr1YtUI9PRFsh4/edit?usp=drivesdk" TargetMode="External"/><Relationship Id="rId125" Type="http://schemas.openxmlformats.org/officeDocument/2006/relationships/hyperlink" Target="https://docs.google.com/open?id=1LQOv5EYH_R2CeIxPcHJt5glQfrI6PypAsdhVvkmyaJo" TargetMode="External"/><Relationship Id="rId367" Type="http://schemas.openxmlformats.org/officeDocument/2006/relationships/hyperlink" Target="https://docs.google.com/document/d/1NnZ5QULpRRFVoArqk6Vb_8ANfczxR_IxeORrCU44D8I/edit?usp=drivesdk" TargetMode="External"/><Relationship Id="rId1198" Type="http://schemas.openxmlformats.org/officeDocument/2006/relationships/hyperlink" Target="https://docs.google.com/document/d/1BwdCkLDYS8pLmTfAbloDN7Hn7Q3UmYr1YtUI9PRFsh4/edit?usp=drivesdk" TargetMode="External"/><Relationship Id="rId124" Type="http://schemas.openxmlformats.org/officeDocument/2006/relationships/hyperlink" Target="https://docs.google.com/open?id=1LQOv5EYH_R2CeIxPcHJt5glQfrI6PypAsdhVvkmyaJo" TargetMode="External"/><Relationship Id="rId366" Type="http://schemas.openxmlformats.org/officeDocument/2006/relationships/hyperlink" Target="https://docs.google.com/document/d/1NnZ5QULpRRFVoArqk6Vb_8ANfczxR_IxeORrCU44D8I/edit?usp=drivesdk" TargetMode="External"/><Relationship Id="rId1199" Type="http://schemas.openxmlformats.org/officeDocument/2006/relationships/hyperlink" Target="https://docs.google.com/document/d/1BwdCkLDYS8pLmTfAbloDN7Hn7Q3UmYr1YtUI9PRFsh4/edit?usp=drivesdk" TargetMode="External"/><Relationship Id="rId123" Type="http://schemas.openxmlformats.org/officeDocument/2006/relationships/hyperlink" Target="https://docs.google.com/open?id=1LQOv5EYH_R2CeIxPcHJt5glQfrI6PypAsdhVvkmyaJo" TargetMode="External"/><Relationship Id="rId365" Type="http://schemas.openxmlformats.org/officeDocument/2006/relationships/hyperlink" Target="https://docs.google.com/document/d/1NnZ5QULpRRFVoArqk6Vb_8ANfczxR_IxeORrCU44D8I/edit?usp=drivesdk" TargetMode="External"/><Relationship Id="rId122" Type="http://schemas.openxmlformats.org/officeDocument/2006/relationships/hyperlink" Target="https://docs.google.com/open?id=1LQOv5EYH_R2CeIxPcHJt5glQfrI6PypAsdhVvkmyaJo" TargetMode="External"/><Relationship Id="rId364" Type="http://schemas.openxmlformats.org/officeDocument/2006/relationships/hyperlink" Target="https://docs.google.com/document/d/1NnZ5QULpRRFVoArqk6Vb_8ANfczxR_IxeORrCU44D8I/edit?usp=drivesdk" TargetMode="External"/><Relationship Id="rId95" Type="http://schemas.openxmlformats.org/officeDocument/2006/relationships/hyperlink" Target="https://docs.google.com/open?id=1uxkHlxkrkOknNySWSHkw1E-w8qxRa4QcDIS3ofTHz6E" TargetMode="External"/><Relationship Id="rId94" Type="http://schemas.openxmlformats.org/officeDocument/2006/relationships/hyperlink" Target="https://docs.google.com/open?id=1uxkHlxkrkOknNySWSHkw1E-w8qxRa4QcDIS3ofTHz6E" TargetMode="External"/><Relationship Id="rId97" Type="http://schemas.openxmlformats.org/officeDocument/2006/relationships/hyperlink" Target="https://docs.google.com/open?id=1uxkHlxkrkOknNySWSHkw1E-w8qxRa4QcDIS3ofTHz6E" TargetMode="External"/><Relationship Id="rId96" Type="http://schemas.openxmlformats.org/officeDocument/2006/relationships/hyperlink" Target="https://docs.google.com/open?id=1uxkHlxkrkOknNySWSHkw1E-w8qxRa4QcDIS3ofTHz6E" TargetMode="External"/><Relationship Id="rId99" Type="http://schemas.openxmlformats.org/officeDocument/2006/relationships/hyperlink" Target="https://docs.google.com/open?id=1uxkHlxkrkOknNySWSHkw1E-w8qxRa4QcDIS3ofTHz6E" TargetMode="External"/><Relationship Id="rId98" Type="http://schemas.openxmlformats.org/officeDocument/2006/relationships/hyperlink" Target="https://docs.google.com/open?id=1uxkHlxkrkOknNySWSHkw1E-w8qxRa4QcDIS3ofTHz6E" TargetMode="External"/><Relationship Id="rId91" Type="http://schemas.openxmlformats.org/officeDocument/2006/relationships/hyperlink" Target="https://docs.google.com/open?id=1uxkHlxkrkOknNySWSHkw1E-w8qxRa4QcDIS3ofTHz6E" TargetMode="External"/><Relationship Id="rId90" Type="http://schemas.openxmlformats.org/officeDocument/2006/relationships/hyperlink" Target="https://docs.google.com/open?id=1uxkHlxkrkOknNySWSHkw1E-w8qxRa4QcDIS3ofTHz6E" TargetMode="External"/><Relationship Id="rId93" Type="http://schemas.openxmlformats.org/officeDocument/2006/relationships/hyperlink" Target="https://docs.google.com/open?id=1uxkHlxkrkOknNySWSHkw1E-w8qxRa4QcDIS3ofTHz6E" TargetMode="External"/><Relationship Id="rId92" Type="http://schemas.openxmlformats.org/officeDocument/2006/relationships/hyperlink" Target="https://docs.google.com/open?id=1uxkHlxkrkOknNySWSHkw1E-w8qxRa4QcDIS3ofTHz6E" TargetMode="External"/><Relationship Id="rId118" Type="http://schemas.openxmlformats.org/officeDocument/2006/relationships/hyperlink" Target="https://docs.google.com/open?id=11E8R1bQ23GhGNvZHieQ3c1jxoTYeFGgRIMKaucCavAM" TargetMode="External"/><Relationship Id="rId117" Type="http://schemas.openxmlformats.org/officeDocument/2006/relationships/hyperlink" Target="https://docs.google.com/open?id=11E8R1bQ23GhGNvZHieQ3c1jxoTYeFGgRIMKaucCavAM" TargetMode="External"/><Relationship Id="rId359" Type="http://schemas.openxmlformats.org/officeDocument/2006/relationships/hyperlink" Target="https://docs.google.com/document/d/1TWex2w7xgiyIXBbDMsTqLIfbuucVxd_1PRfyZkAViHw/edit?usp=drivesdk" TargetMode="External"/><Relationship Id="rId116" Type="http://schemas.openxmlformats.org/officeDocument/2006/relationships/hyperlink" Target="https://docs.google.com/open?id=11E8R1bQ23GhGNvZHieQ3c1jxoTYeFGgRIMKaucCavAM" TargetMode="External"/><Relationship Id="rId358" Type="http://schemas.openxmlformats.org/officeDocument/2006/relationships/hyperlink" Target="https://docs.google.com/document/d/1TWex2w7xgiyIXBbDMsTqLIfbuucVxd_1PRfyZkAViHw/edit?usp=drivesdk" TargetMode="External"/><Relationship Id="rId115" Type="http://schemas.openxmlformats.org/officeDocument/2006/relationships/hyperlink" Target="https://docs.google.com/open?id=11E8R1bQ23GhGNvZHieQ3c1jxoTYeFGgRIMKaucCavAM" TargetMode="External"/><Relationship Id="rId357" Type="http://schemas.openxmlformats.org/officeDocument/2006/relationships/hyperlink" Target="https://docs.google.com/document/d/1TWex2w7xgiyIXBbDMsTqLIfbuucVxd_1PRfyZkAViHw/edit?usp=drivesdk" TargetMode="External"/><Relationship Id="rId599" Type="http://schemas.openxmlformats.org/officeDocument/2006/relationships/hyperlink" Target="https://docs.google.com/document/d/15H5PW-Prpx3dHq5pzCA-X5-e2XDcAa-Fla3euW5D6cM/edit?usp=drivesdk" TargetMode="External"/><Relationship Id="rId1180" Type="http://schemas.openxmlformats.org/officeDocument/2006/relationships/hyperlink" Target="https://docs.google.com/document/d/12vvWuzE77bTqABGANu3N1z7EJU7b8lmyvCGijjDbULs/edit?usp=drivesdk" TargetMode="External"/><Relationship Id="rId1181" Type="http://schemas.openxmlformats.org/officeDocument/2006/relationships/hyperlink" Target="https://docs.google.com/document/d/1rxzirks6dJMSxg10lLisV08-ZtUkmmQmgLw5gkZE1ss/edit?usp=drivesdk" TargetMode="External"/><Relationship Id="rId119" Type="http://schemas.openxmlformats.org/officeDocument/2006/relationships/hyperlink" Target="https://docs.google.com/open?id=11E8R1bQ23GhGNvZHieQ3c1jxoTYeFGgRIMKaucCavAM" TargetMode="External"/><Relationship Id="rId1182" Type="http://schemas.openxmlformats.org/officeDocument/2006/relationships/hyperlink" Target="https://docs.google.com/document/d/1rxzirks6dJMSxg10lLisV08-ZtUkmmQmgLw5gkZE1ss/edit?usp=drivesdk" TargetMode="External"/><Relationship Id="rId110" Type="http://schemas.openxmlformats.org/officeDocument/2006/relationships/hyperlink" Target="https://docs.google.com/open?id=11E8R1bQ23GhGNvZHieQ3c1jxoTYeFGgRIMKaucCavAM" TargetMode="External"/><Relationship Id="rId352" Type="http://schemas.openxmlformats.org/officeDocument/2006/relationships/hyperlink" Target="https://docs.google.com/document/d/1EKSIXaOeGTh0KHVKnI6OFK2kH-866_IO9MFalQEBP4s/edit?usp=drivesdk" TargetMode="External"/><Relationship Id="rId594" Type="http://schemas.openxmlformats.org/officeDocument/2006/relationships/hyperlink" Target="https://docs.google.com/document/d/15H5PW-Prpx3dHq5pzCA-X5-e2XDcAa-Fla3euW5D6cM/edit?usp=drivesdk" TargetMode="External"/><Relationship Id="rId1183" Type="http://schemas.openxmlformats.org/officeDocument/2006/relationships/hyperlink" Target="https://docs.google.com/document/d/1rxzirks6dJMSxg10lLisV08-ZtUkmmQmgLw5gkZE1ss/edit?usp=drivesdk" TargetMode="External"/><Relationship Id="rId351" Type="http://schemas.openxmlformats.org/officeDocument/2006/relationships/hyperlink" Target="https://docs.google.com/document/d/1EKSIXaOeGTh0KHVKnI6OFK2kH-866_IO9MFalQEBP4s/edit?usp=drivesdk" TargetMode="External"/><Relationship Id="rId593" Type="http://schemas.openxmlformats.org/officeDocument/2006/relationships/hyperlink" Target="https://docs.google.com/document/d/15H5PW-Prpx3dHq5pzCA-X5-e2XDcAa-Fla3euW5D6cM/edit?usp=drivesdk" TargetMode="External"/><Relationship Id="rId1184" Type="http://schemas.openxmlformats.org/officeDocument/2006/relationships/hyperlink" Target="https://docs.google.com/document/d/1rxzirks6dJMSxg10lLisV08-ZtUkmmQmgLw5gkZE1ss/edit?usp=drivesdk" TargetMode="External"/><Relationship Id="rId350" Type="http://schemas.openxmlformats.org/officeDocument/2006/relationships/hyperlink" Target="https://docs.google.com/document/d/1EKSIXaOeGTh0KHVKnI6OFK2kH-866_IO9MFalQEBP4s/edit?usp=drivesdk" TargetMode="External"/><Relationship Id="rId592" Type="http://schemas.openxmlformats.org/officeDocument/2006/relationships/hyperlink" Target="https://docs.google.com/document/d/15H5PW-Prpx3dHq5pzCA-X5-e2XDcAa-Fla3euW5D6cM/edit?usp=drivesdk" TargetMode="External"/><Relationship Id="rId1185" Type="http://schemas.openxmlformats.org/officeDocument/2006/relationships/hyperlink" Target="https://docs.google.com/document/d/1rxzirks6dJMSxg10lLisV08-ZtUkmmQmgLw5gkZE1ss/edit?usp=drivesdk" TargetMode="External"/><Relationship Id="rId591" Type="http://schemas.openxmlformats.org/officeDocument/2006/relationships/hyperlink" Target="https://docs.google.com/document/d/15H5PW-Prpx3dHq5pzCA-X5-e2XDcAa-Fla3euW5D6cM/edit?usp=drivesdk" TargetMode="External"/><Relationship Id="rId1186" Type="http://schemas.openxmlformats.org/officeDocument/2006/relationships/hyperlink" Target="https://docs.google.com/document/d/1rxzirks6dJMSxg10lLisV08-ZtUkmmQmgLw5gkZE1ss/edit?usp=drivesdk" TargetMode="External"/><Relationship Id="rId114" Type="http://schemas.openxmlformats.org/officeDocument/2006/relationships/hyperlink" Target="https://docs.google.com/open?id=11E8R1bQ23GhGNvZHieQ3c1jxoTYeFGgRIMKaucCavAM" TargetMode="External"/><Relationship Id="rId356" Type="http://schemas.openxmlformats.org/officeDocument/2006/relationships/hyperlink" Target="https://docs.google.com/document/d/1TWex2w7xgiyIXBbDMsTqLIfbuucVxd_1PRfyZkAViHw/edit?usp=drivesdk" TargetMode="External"/><Relationship Id="rId598" Type="http://schemas.openxmlformats.org/officeDocument/2006/relationships/hyperlink" Target="https://docs.google.com/document/d/15H5PW-Prpx3dHq5pzCA-X5-e2XDcAa-Fla3euW5D6cM/edit?usp=drivesdk" TargetMode="External"/><Relationship Id="rId1187" Type="http://schemas.openxmlformats.org/officeDocument/2006/relationships/hyperlink" Target="https://docs.google.com/document/d/1rxzirks6dJMSxg10lLisV08-ZtUkmmQmgLw5gkZE1ss/edit?usp=drivesdk" TargetMode="External"/><Relationship Id="rId113" Type="http://schemas.openxmlformats.org/officeDocument/2006/relationships/hyperlink" Target="https://docs.google.com/open?id=11E8R1bQ23GhGNvZHieQ3c1jxoTYeFGgRIMKaucCavAM" TargetMode="External"/><Relationship Id="rId355" Type="http://schemas.openxmlformats.org/officeDocument/2006/relationships/hyperlink" Target="https://docs.google.com/document/d/1TWex2w7xgiyIXBbDMsTqLIfbuucVxd_1PRfyZkAViHw/edit?usp=drivesdk" TargetMode="External"/><Relationship Id="rId597" Type="http://schemas.openxmlformats.org/officeDocument/2006/relationships/hyperlink" Target="https://docs.google.com/document/d/15H5PW-Prpx3dHq5pzCA-X5-e2XDcAa-Fla3euW5D6cM/edit?usp=drivesdk" TargetMode="External"/><Relationship Id="rId1188" Type="http://schemas.openxmlformats.org/officeDocument/2006/relationships/hyperlink" Target="https://docs.google.com/document/d/1rxzirks6dJMSxg10lLisV08-ZtUkmmQmgLw5gkZE1ss/edit?usp=drivesdk" TargetMode="External"/><Relationship Id="rId112" Type="http://schemas.openxmlformats.org/officeDocument/2006/relationships/hyperlink" Target="https://docs.google.com/open?id=11E8R1bQ23GhGNvZHieQ3c1jxoTYeFGgRIMKaucCavAM" TargetMode="External"/><Relationship Id="rId354" Type="http://schemas.openxmlformats.org/officeDocument/2006/relationships/hyperlink" Target="https://docs.google.com/document/d/1TWex2w7xgiyIXBbDMsTqLIfbuucVxd_1PRfyZkAViHw/edit?usp=drivesdk" TargetMode="External"/><Relationship Id="rId596" Type="http://schemas.openxmlformats.org/officeDocument/2006/relationships/hyperlink" Target="https://docs.google.com/document/d/15H5PW-Prpx3dHq5pzCA-X5-e2XDcAa-Fla3euW5D6cM/edit?usp=drivesdk" TargetMode="External"/><Relationship Id="rId1189" Type="http://schemas.openxmlformats.org/officeDocument/2006/relationships/hyperlink" Target="https://docs.google.com/document/d/1rxzirks6dJMSxg10lLisV08-ZtUkmmQmgLw5gkZE1ss/edit?usp=drivesdk" TargetMode="External"/><Relationship Id="rId111" Type="http://schemas.openxmlformats.org/officeDocument/2006/relationships/hyperlink" Target="https://docs.google.com/open?id=11E8R1bQ23GhGNvZHieQ3c1jxoTYeFGgRIMKaucCavAM" TargetMode="External"/><Relationship Id="rId353" Type="http://schemas.openxmlformats.org/officeDocument/2006/relationships/hyperlink" Target="https://docs.google.com/document/d/1EKSIXaOeGTh0KHVKnI6OFK2kH-866_IO9MFalQEBP4s/edit?usp=drivesdk" TargetMode="External"/><Relationship Id="rId595" Type="http://schemas.openxmlformats.org/officeDocument/2006/relationships/hyperlink" Target="https://docs.google.com/document/d/15H5PW-Prpx3dHq5pzCA-X5-e2XDcAa-Fla3euW5D6cM/edit?usp=drivesdk" TargetMode="External"/><Relationship Id="rId1136" Type="http://schemas.openxmlformats.org/officeDocument/2006/relationships/hyperlink" Target="https://docs.google.com/document/d/1hGNbDRfGTrN-KseK3XfxbOe59qfjC_3_BqVrt4fjLwk/edit?usp=drivesdk" TargetMode="External"/><Relationship Id="rId1378" Type="http://schemas.openxmlformats.org/officeDocument/2006/relationships/hyperlink" Target="https://docs.google.com/document/d/1EggRMnuRf4z611iUeXuLoUIrRN49ASkcA8tMhh_jbX8/edit?usp=drivesdk" TargetMode="External"/><Relationship Id="rId1137" Type="http://schemas.openxmlformats.org/officeDocument/2006/relationships/hyperlink" Target="https://docs.google.com/document/d/1hGNbDRfGTrN-KseK3XfxbOe59qfjC_3_BqVrt4fjLwk/edit?usp=drivesdk" TargetMode="External"/><Relationship Id="rId1379" Type="http://schemas.openxmlformats.org/officeDocument/2006/relationships/hyperlink" Target="https://docs.google.com/document/d/1EggRMnuRf4z611iUeXuLoUIrRN49ASkcA8tMhh_jbX8/edit?usp=drivesdk" TargetMode="External"/><Relationship Id="rId1138" Type="http://schemas.openxmlformats.org/officeDocument/2006/relationships/hyperlink" Target="https://docs.google.com/document/d/1hGNbDRfGTrN-KseK3XfxbOe59qfjC_3_BqVrt4fjLwk/edit?usp=drivesdk" TargetMode="External"/><Relationship Id="rId1139" Type="http://schemas.openxmlformats.org/officeDocument/2006/relationships/hyperlink" Target="https://docs.google.com/document/d/1hGNbDRfGTrN-KseK3XfxbOe59qfjC_3_BqVrt4fjLwk/edit?usp=drivesdk" TargetMode="External"/><Relationship Id="rId305" Type="http://schemas.openxmlformats.org/officeDocument/2006/relationships/hyperlink" Target="https://docs.google.com/document/d/1utIBgr8m3RpunGbt88_YJ40lmYH6j9nZKLSJCskjYOI/edit?usp=drivesdk" TargetMode="External"/><Relationship Id="rId547" Type="http://schemas.openxmlformats.org/officeDocument/2006/relationships/hyperlink" Target="https://docs.google.com/document/d/1ydMbEoBR8lcZYWuOI90ria_xEphmhSvDYoI7jQ-LT_U/edit?usp=drivesdk" TargetMode="External"/><Relationship Id="rId789" Type="http://schemas.openxmlformats.org/officeDocument/2006/relationships/hyperlink" Target="https://docs.google.com/document/d/10eiYZzJYoyN7Sjpsb5J6PlNAbmc0266CUG2LWR3_4yE/edit?usp=drivesdk" TargetMode="External"/><Relationship Id="rId304" Type="http://schemas.openxmlformats.org/officeDocument/2006/relationships/hyperlink" Target="https://docs.google.com/document/d/1utIBgr8m3RpunGbt88_YJ40lmYH6j9nZKLSJCskjYOI/edit?usp=drivesdk" TargetMode="External"/><Relationship Id="rId546" Type="http://schemas.openxmlformats.org/officeDocument/2006/relationships/hyperlink" Target="https://docs.google.com/document/d/1ydMbEoBR8lcZYWuOI90ria_xEphmhSvDYoI7jQ-LT_U/edit?usp=drivesdk" TargetMode="External"/><Relationship Id="rId788" Type="http://schemas.openxmlformats.org/officeDocument/2006/relationships/hyperlink" Target="https://docs.google.com/document/d/10eiYZzJYoyN7Sjpsb5J6PlNAbmc0266CUG2LWR3_4yE/edit?usp=drivesdk" TargetMode="External"/><Relationship Id="rId303" Type="http://schemas.openxmlformats.org/officeDocument/2006/relationships/hyperlink" Target="https://docs.google.com/document/d/1utIBgr8m3RpunGbt88_YJ40lmYH6j9nZKLSJCskjYOI/edit?usp=drivesdk" TargetMode="External"/><Relationship Id="rId545" Type="http://schemas.openxmlformats.org/officeDocument/2006/relationships/hyperlink" Target="https://docs.google.com/document/d/1r0D7E3XZH39FpOJyi7nrJW4vkIamt6NGV8IJQBPnvO0/edit?usp=drivesdk" TargetMode="External"/><Relationship Id="rId787" Type="http://schemas.openxmlformats.org/officeDocument/2006/relationships/hyperlink" Target="https://docs.google.com/document/d/10eiYZzJYoyN7Sjpsb5J6PlNAbmc0266CUG2LWR3_4yE/edit?usp=drivesdk" TargetMode="External"/><Relationship Id="rId302" Type="http://schemas.openxmlformats.org/officeDocument/2006/relationships/hyperlink" Target="https://docs.google.com/document/d/1utIBgr8m3RpunGbt88_YJ40lmYH6j9nZKLSJCskjYOI/edit?usp=drivesdk" TargetMode="External"/><Relationship Id="rId544" Type="http://schemas.openxmlformats.org/officeDocument/2006/relationships/hyperlink" Target="https://docs.google.com/document/d/1r0D7E3XZH39FpOJyi7nrJW4vkIamt6NGV8IJQBPnvO0/edit?usp=drivesdk" TargetMode="External"/><Relationship Id="rId786" Type="http://schemas.openxmlformats.org/officeDocument/2006/relationships/hyperlink" Target="https://docs.google.com/document/d/12iKvOY4u3zCEkP48VABv4XnwoU2BVHOxcBrG7YXawag/edit?usp=drivesdk" TargetMode="External"/><Relationship Id="rId309" Type="http://schemas.openxmlformats.org/officeDocument/2006/relationships/hyperlink" Target="https://docs.google.com/document/d/1ykFxW2lOcRAk3SpSZPD0496KYiG-W_Q7NpSsrRmTTxE/edit?usp=drivesdk" TargetMode="External"/><Relationship Id="rId308" Type="http://schemas.openxmlformats.org/officeDocument/2006/relationships/hyperlink" Target="https://docs.google.com/document/d/1ykFxW2lOcRAk3SpSZPD0496KYiG-W_Q7NpSsrRmTTxE/edit?usp=drivesdk" TargetMode="External"/><Relationship Id="rId307" Type="http://schemas.openxmlformats.org/officeDocument/2006/relationships/hyperlink" Target="https://docs.google.com/document/d/1ykFxW2lOcRAk3SpSZPD0496KYiG-W_Q7NpSsrRmTTxE/edit?usp=drivesdk" TargetMode="External"/><Relationship Id="rId549" Type="http://schemas.openxmlformats.org/officeDocument/2006/relationships/hyperlink" Target="https://docs.google.com/document/d/1ydMbEoBR8lcZYWuOI90ria_xEphmhSvDYoI7jQ-LT_U/edit?usp=drivesdk" TargetMode="External"/><Relationship Id="rId306" Type="http://schemas.openxmlformats.org/officeDocument/2006/relationships/hyperlink" Target="https://docs.google.com/document/d/1ykFxW2lOcRAk3SpSZPD0496KYiG-W_Q7NpSsrRmTTxE/edit?usp=drivesdk" TargetMode="External"/><Relationship Id="rId548" Type="http://schemas.openxmlformats.org/officeDocument/2006/relationships/hyperlink" Target="https://docs.google.com/document/d/1ydMbEoBR8lcZYWuOI90ria_xEphmhSvDYoI7jQ-LT_U/edit?usp=drivesdk" TargetMode="External"/><Relationship Id="rId781" Type="http://schemas.openxmlformats.org/officeDocument/2006/relationships/hyperlink" Target="https://docs.google.com/document/d/12iKvOY4u3zCEkP48VABv4XnwoU2BVHOxcBrG7YXawag/edit?usp=drivesdk" TargetMode="External"/><Relationship Id="rId1370" Type="http://schemas.openxmlformats.org/officeDocument/2006/relationships/hyperlink" Target="https://docs.google.com/document/d/1iswk2A_yXtFaJ2YggQ7BlNtgyZNHl_Rl-nYeSfyAbkw/edit?usp=drivesdk" TargetMode="External"/><Relationship Id="rId780" Type="http://schemas.openxmlformats.org/officeDocument/2006/relationships/hyperlink" Target="https://docs.google.com/document/d/12iKvOY4u3zCEkP48VABv4XnwoU2BVHOxcBrG7YXawag/edit?usp=drivesdk" TargetMode="External"/><Relationship Id="rId1371" Type="http://schemas.openxmlformats.org/officeDocument/2006/relationships/hyperlink" Target="https://docs.google.com/document/d/1iswk2A_yXtFaJ2YggQ7BlNtgyZNHl_Rl-nYeSfyAbkw/edit?usp=drivesdk" TargetMode="External"/><Relationship Id="rId1130" Type="http://schemas.openxmlformats.org/officeDocument/2006/relationships/hyperlink" Target="https://docs.google.com/document/d/1N4ev_BLCiCHMtht2W9rwWWkvEkmFNgGD7u6seYjuAd8/edit?usp=drivesdk" TargetMode="External"/><Relationship Id="rId1372" Type="http://schemas.openxmlformats.org/officeDocument/2006/relationships/hyperlink" Target="https://docs.google.com/document/d/1iswk2A_yXtFaJ2YggQ7BlNtgyZNHl_Rl-nYeSfyAbkw/edit?usp=drivesdk" TargetMode="External"/><Relationship Id="rId1131" Type="http://schemas.openxmlformats.org/officeDocument/2006/relationships/hyperlink" Target="https://docs.google.com/document/d/1N4ev_BLCiCHMtht2W9rwWWkvEkmFNgGD7u6seYjuAd8/edit?usp=drivesdk" TargetMode="External"/><Relationship Id="rId1373" Type="http://schemas.openxmlformats.org/officeDocument/2006/relationships/hyperlink" Target="https://docs.google.com/document/d/1iswk2A_yXtFaJ2YggQ7BlNtgyZNHl_Rl-nYeSfyAbkw/edit?usp=drivesdk" TargetMode="External"/><Relationship Id="rId301" Type="http://schemas.openxmlformats.org/officeDocument/2006/relationships/hyperlink" Target="https://docs.google.com/document/d/1utIBgr8m3RpunGbt88_YJ40lmYH6j9nZKLSJCskjYOI/edit?usp=drivesdk" TargetMode="External"/><Relationship Id="rId543" Type="http://schemas.openxmlformats.org/officeDocument/2006/relationships/hyperlink" Target="https://docs.google.com/document/d/1r0D7E3XZH39FpOJyi7nrJW4vkIamt6NGV8IJQBPnvO0/edit?usp=drivesdk" TargetMode="External"/><Relationship Id="rId785" Type="http://schemas.openxmlformats.org/officeDocument/2006/relationships/hyperlink" Target="https://docs.google.com/document/d/12iKvOY4u3zCEkP48VABv4XnwoU2BVHOxcBrG7YXawag/edit?usp=drivesdk" TargetMode="External"/><Relationship Id="rId1132" Type="http://schemas.openxmlformats.org/officeDocument/2006/relationships/hyperlink" Target="https://docs.google.com/document/d/1N4ev_BLCiCHMtht2W9rwWWkvEkmFNgGD7u6seYjuAd8/edit?usp=drivesdk" TargetMode="External"/><Relationship Id="rId1374" Type="http://schemas.openxmlformats.org/officeDocument/2006/relationships/hyperlink" Target="https://docs.google.com/document/d/1iswk2A_yXtFaJ2YggQ7BlNtgyZNHl_Rl-nYeSfyAbkw/edit?usp=drivesdk" TargetMode="External"/><Relationship Id="rId300" Type="http://schemas.openxmlformats.org/officeDocument/2006/relationships/hyperlink" Target="https://docs.google.com/document/d/1utIBgr8m3RpunGbt88_YJ40lmYH6j9nZKLSJCskjYOI/edit?usp=drivesdk" TargetMode="External"/><Relationship Id="rId542" Type="http://schemas.openxmlformats.org/officeDocument/2006/relationships/hyperlink" Target="https://docs.google.com/document/d/1r0D7E3XZH39FpOJyi7nrJW4vkIamt6NGV8IJQBPnvO0/edit?usp=drivesdk" TargetMode="External"/><Relationship Id="rId784" Type="http://schemas.openxmlformats.org/officeDocument/2006/relationships/hyperlink" Target="https://docs.google.com/document/d/12iKvOY4u3zCEkP48VABv4XnwoU2BVHOxcBrG7YXawag/edit?usp=drivesdk" TargetMode="External"/><Relationship Id="rId1133" Type="http://schemas.openxmlformats.org/officeDocument/2006/relationships/hyperlink" Target="https://docs.google.com/document/d/1N4ev_BLCiCHMtht2W9rwWWkvEkmFNgGD7u6seYjuAd8/edit?usp=drivesdk" TargetMode="External"/><Relationship Id="rId1375" Type="http://schemas.openxmlformats.org/officeDocument/2006/relationships/hyperlink" Target="https://docs.google.com/document/d/1iswk2A_yXtFaJ2YggQ7BlNtgyZNHl_Rl-nYeSfyAbkw/edit?usp=drivesdk" TargetMode="External"/><Relationship Id="rId541" Type="http://schemas.openxmlformats.org/officeDocument/2006/relationships/hyperlink" Target="https://docs.google.com/document/d/1r0D7E3XZH39FpOJyi7nrJW4vkIamt6NGV8IJQBPnvO0/edit?usp=drivesdk" TargetMode="External"/><Relationship Id="rId783" Type="http://schemas.openxmlformats.org/officeDocument/2006/relationships/hyperlink" Target="https://docs.google.com/document/d/12iKvOY4u3zCEkP48VABv4XnwoU2BVHOxcBrG7YXawag/edit?usp=drivesdk" TargetMode="External"/><Relationship Id="rId1134" Type="http://schemas.openxmlformats.org/officeDocument/2006/relationships/hyperlink" Target="https://docs.google.com/document/d/1N4ev_BLCiCHMtht2W9rwWWkvEkmFNgGD7u6seYjuAd8/edit?usp=drivesdk" TargetMode="External"/><Relationship Id="rId1376" Type="http://schemas.openxmlformats.org/officeDocument/2006/relationships/hyperlink" Target="https://docs.google.com/document/d/1EggRMnuRf4z611iUeXuLoUIrRN49ASkcA8tMhh_jbX8/edit?usp=drivesdk" TargetMode="External"/><Relationship Id="rId540" Type="http://schemas.openxmlformats.org/officeDocument/2006/relationships/hyperlink" Target="https://docs.google.com/document/d/1r0D7E3XZH39FpOJyi7nrJW4vkIamt6NGV8IJQBPnvO0/edit?usp=drivesdk" TargetMode="External"/><Relationship Id="rId782" Type="http://schemas.openxmlformats.org/officeDocument/2006/relationships/hyperlink" Target="https://docs.google.com/document/d/12iKvOY4u3zCEkP48VABv4XnwoU2BVHOxcBrG7YXawag/edit?usp=drivesdk" TargetMode="External"/><Relationship Id="rId1135" Type="http://schemas.openxmlformats.org/officeDocument/2006/relationships/hyperlink" Target="https://docs.google.com/document/d/1N4ev_BLCiCHMtht2W9rwWWkvEkmFNgGD7u6seYjuAd8/edit?usp=drivesdk" TargetMode="External"/><Relationship Id="rId1377" Type="http://schemas.openxmlformats.org/officeDocument/2006/relationships/hyperlink" Target="https://docs.google.com/document/d/1EggRMnuRf4z611iUeXuLoUIrRN49ASkcA8tMhh_jbX8/edit?usp=drivesdk" TargetMode="External"/><Relationship Id="rId1125" Type="http://schemas.openxmlformats.org/officeDocument/2006/relationships/hyperlink" Target="https://docs.google.com/document/d/1N4ev_BLCiCHMtht2W9rwWWkvEkmFNgGD7u6seYjuAd8/edit?usp=drivesdk" TargetMode="External"/><Relationship Id="rId1367" Type="http://schemas.openxmlformats.org/officeDocument/2006/relationships/hyperlink" Target="https://docs.google.com/document/d/1iswk2A_yXtFaJ2YggQ7BlNtgyZNHl_Rl-nYeSfyAbkw/edit?usp=drivesdk" TargetMode="External"/><Relationship Id="rId1126" Type="http://schemas.openxmlformats.org/officeDocument/2006/relationships/hyperlink" Target="https://docs.google.com/document/d/1N4ev_BLCiCHMtht2W9rwWWkvEkmFNgGD7u6seYjuAd8/edit?usp=drivesdk" TargetMode="External"/><Relationship Id="rId1368" Type="http://schemas.openxmlformats.org/officeDocument/2006/relationships/hyperlink" Target="https://docs.google.com/document/d/1iswk2A_yXtFaJ2YggQ7BlNtgyZNHl_Rl-nYeSfyAbkw/edit?usp=drivesdk" TargetMode="External"/><Relationship Id="rId1127" Type="http://schemas.openxmlformats.org/officeDocument/2006/relationships/hyperlink" Target="https://docs.google.com/document/d/1N4ev_BLCiCHMtht2W9rwWWkvEkmFNgGD7u6seYjuAd8/edit?usp=drivesdk" TargetMode="External"/><Relationship Id="rId1369" Type="http://schemas.openxmlformats.org/officeDocument/2006/relationships/hyperlink" Target="https://docs.google.com/document/d/1iswk2A_yXtFaJ2YggQ7BlNtgyZNHl_Rl-nYeSfyAbkw/edit?usp=drivesdk" TargetMode="External"/><Relationship Id="rId1128" Type="http://schemas.openxmlformats.org/officeDocument/2006/relationships/hyperlink" Target="https://docs.google.com/document/d/1N4ev_BLCiCHMtht2W9rwWWkvEkmFNgGD7u6seYjuAd8/edit?usp=drivesdk" TargetMode="External"/><Relationship Id="rId1129" Type="http://schemas.openxmlformats.org/officeDocument/2006/relationships/hyperlink" Target="https://docs.google.com/document/d/1N4ev_BLCiCHMtht2W9rwWWkvEkmFNgGD7u6seYjuAd8/edit?usp=drivesdk" TargetMode="External"/><Relationship Id="rId536" Type="http://schemas.openxmlformats.org/officeDocument/2006/relationships/hyperlink" Target="https://docs.google.com/document/d/1r0D7E3XZH39FpOJyi7nrJW4vkIamt6NGV8IJQBPnvO0/edit?usp=drivesdk" TargetMode="External"/><Relationship Id="rId778" Type="http://schemas.openxmlformats.org/officeDocument/2006/relationships/hyperlink" Target="https://docs.google.com/document/d/12iKvOY4u3zCEkP48VABv4XnwoU2BVHOxcBrG7YXawag/edit?usp=drivesdk" TargetMode="External"/><Relationship Id="rId535" Type="http://schemas.openxmlformats.org/officeDocument/2006/relationships/hyperlink" Target="https://docs.google.com/document/d/1r0D7E3XZH39FpOJyi7nrJW4vkIamt6NGV8IJQBPnvO0/edit?usp=drivesdk" TargetMode="External"/><Relationship Id="rId777" Type="http://schemas.openxmlformats.org/officeDocument/2006/relationships/hyperlink" Target="https://docs.google.com/document/d/12iKvOY4u3zCEkP48VABv4XnwoU2BVHOxcBrG7YXawag/edit?usp=drivesdk" TargetMode="External"/><Relationship Id="rId534" Type="http://schemas.openxmlformats.org/officeDocument/2006/relationships/hyperlink" Target="https://docs.google.com/document/d/1_aalscC4dw9G5BKzUI_ZyaOp0u8SiCXaTClClDrQGv8/edit?usp=drivesdk" TargetMode="External"/><Relationship Id="rId776" Type="http://schemas.openxmlformats.org/officeDocument/2006/relationships/hyperlink" Target="https://docs.google.com/document/d/12iKvOY4u3zCEkP48VABv4XnwoU2BVHOxcBrG7YXawag/edit?usp=drivesdk" TargetMode="External"/><Relationship Id="rId533" Type="http://schemas.openxmlformats.org/officeDocument/2006/relationships/hyperlink" Target="https://docs.google.com/document/d/1_aalscC4dw9G5BKzUI_ZyaOp0u8SiCXaTClClDrQGv8/edit?usp=drivesdk" TargetMode="External"/><Relationship Id="rId775" Type="http://schemas.openxmlformats.org/officeDocument/2006/relationships/hyperlink" Target="https://docs.google.com/document/d/1yCfxZBy3mFFAytWgPi9pM8Izz9ThiXdNZZzJlFJppvg/edit?usp=drivesdk" TargetMode="External"/><Relationship Id="rId539" Type="http://schemas.openxmlformats.org/officeDocument/2006/relationships/hyperlink" Target="https://docs.google.com/document/d/1r0D7E3XZH39FpOJyi7nrJW4vkIamt6NGV8IJQBPnvO0/edit?usp=drivesdk" TargetMode="External"/><Relationship Id="rId538" Type="http://schemas.openxmlformats.org/officeDocument/2006/relationships/hyperlink" Target="https://docs.google.com/document/d/1r0D7E3XZH39FpOJyi7nrJW4vkIamt6NGV8IJQBPnvO0/edit?usp=drivesdk" TargetMode="External"/><Relationship Id="rId537" Type="http://schemas.openxmlformats.org/officeDocument/2006/relationships/hyperlink" Target="https://docs.google.com/document/d/1r0D7E3XZH39FpOJyi7nrJW4vkIamt6NGV8IJQBPnvO0/edit?usp=drivesdk" TargetMode="External"/><Relationship Id="rId779" Type="http://schemas.openxmlformats.org/officeDocument/2006/relationships/hyperlink" Target="https://docs.google.com/document/d/12iKvOY4u3zCEkP48VABv4XnwoU2BVHOxcBrG7YXawag/edit?usp=drivesdk" TargetMode="External"/><Relationship Id="rId770" Type="http://schemas.openxmlformats.org/officeDocument/2006/relationships/hyperlink" Target="https://docs.google.com/document/d/1yCfxZBy3mFFAytWgPi9pM8Izz9ThiXdNZZzJlFJppvg/edit?usp=drivesdk" TargetMode="External"/><Relationship Id="rId1360" Type="http://schemas.openxmlformats.org/officeDocument/2006/relationships/hyperlink" Target="https://docs.google.com/document/d/1DwboVjxaSVqfkkiCekVvQGX98F4w-ajzDVKnCVkf82g/edit?usp=drivesdk" TargetMode="External"/><Relationship Id="rId1361" Type="http://schemas.openxmlformats.org/officeDocument/2006/relationships/hyperlink" Target="https://docs.google.com/document/d/1DwboVjxaSVqfkkiCekVvQGX98F4w-ajzDVKnCVkf82g/edit?usp=drivesdk" TargetMode="External"/><Relationship Id="rId1120" Type="http://schemas.openxmlformats.org/officeDocument/2006/relationships/hyperlink" Target="https://docs.google.com/document/d/1k2bnufSwjDLYMMWuDJGD5b9U7xr9jdrdl8Gx9uTbJDI/edit?usp=drivesdk" TargetMode="External"/><Relationship Id="rId1362" Type="http://schemas.openxmlformats.org/officeDocument/2006/relationships/hyperlink" Target="https://docs.google.com/document/d/1DwboVjxaSVqfkkiCekVvQGX98F4w-ajzDVKnCVkf82g/edit?usp=drivesdk" TargetMode="External"/><Relationship Id="rId532" Type="http://schemas.openxmlformats.org/officeDocument/2006/relationships/hyperlink" Target="https://docs.google.com/document/d/1_aalscC4dw9G5BKzUI_ZyaOp0u8SiCXaTClClDrQGv8/edit?usp=drivesdk" TargetMode="External"/><Relationship Id="rId774" Type="http://schemas.openxmlformats.org/officeDocument/2006/relationships/hyperlink" Target="https://docs.google.com/document/d/1yCfxZBy3mFFAytWgPi9pM8Izz9ThiXdNZZzJlFJppvg/edit?usp=drivesdk" TargetMode="External"/><Relationship Id="rId1121" Type="http://schemas.openxmlformats.org/officeDocument/2006/relationships/hyperlink" Target="https://docs.google.com/document/d/1k2bnufSwjDLYMMWuDJGD5b9U7xr9jdrdl8Gx9uTbJDI/edit?usp=drivesdk" TargetMode="External"/><Relationship Id="rId1363" Type="http://schemas.openxmlformats.org/officeDocument/2006/relationships/hyperlink" Target="https://docs.google.com/document/d/1iswk2A_yXtFaJ2YggQ7BlNtgyZNHl_Rl-nYeSfyAbkw/edit?usp=drivesdk" TargetMode="External"/><Relationship Id="rId531" Type="http://schemas.openxmlformats.org/officeDocument/2006/relationships/hyperlink" Target="https://docs.google.com/document/d/1_aalscC4dw9G5BKzUI_ZyaOp0u8SiCXaTClClDrQGv8/edit?usp=drivesdk" TargetMode="External"/><Relationship Id="rId773" Type="http://schemas.openxmlformats.org/officeDocument/2006/relationships/hyperlink" Target="https://docs.google.com/document/d/1yCfxZBy3mFFAytWgPi9pM8Izz9ThiXdNZZzJlFJppvg/edit?usp=drivesdk" TargetMode="External"/><Relationship Id="rId1122" Type="http://schemas.openxmlformats.org/officeDocument/2006/relationships/hyperlink" Target="https://docs.google.com/document/d/1k2bnufSwjDLYMMWuDJGD5b9U7xr9jdrdl8Gx9uTbJDI/edit?usp=drivesdk" TargetMode="External"/><Relationship Id="rId1364" Type="http://schemas.openxmlformats.org/officeDocument/2006/relationships/hyperlink" Target="https://docs.google.com/document/d/1iswk2A_yXtFaJ2YggQ7BlNtgyZNHl_Rl-nYeSfyAbkw/edit?usp=drivesdk" TargetMode="External"/><Relationship Id="rId530" Type="http://schemas.openxmlformats.org/officeDocument/2006/relationships/hyperlink" Target="https://docs.google.com/document/d/1_aalscC4dw9G5BKzUI_ZyaOp0u8SiCXaTClClDrQGv8/edit?usp=drivesdk" TargetMode="External"/><Relationship Id="rId772" Type="http://schemas.openxmlformats.org/officeDocument/2006/relationships/hyperlink" Target="https://docs.google.com/document/d/1yCfxZBy3mFFAytWgPi9pM8Izz9ThiXdNZZzJlFJppvg/edit?usp=drivesdk" TargetMode="External"/><Relationship Id="rId1123" Type="http://schemas.openxmlformats.org/officeDocument/2006/relationships/hyperlink" Target="https://docs.google.com/document/d/1k2bnufSwjDLYMMWuDJGD5b9U7xr9jdrdl8Gx9uTbJDI/edit?usp=drivesdk" TargetMode="External"/><Relationship Id="rId1365" Type="http://schemas.openxmlformats.org/officeDocument/2006/relationships/hyperlink" Target="https://docs.google.com/document/d/1iswk2A_yXtFaJ2YggQ7BlNtgyZNHl_Rl-nYeSfyAbkw/edit?usp=drivesdk" TargetMode="External"/><Relationship Id="rId771" Type="http://schemas.openxmlformats.org/officeDocument/2006/relationships/hyperlink" Target="https://docs.google.com/document/d/1yCfxZBy3mFFAytWgPi9pM8Izz9ThiXdNZZzJlFJppvg/edit?usp=drivesdk" TargetMode="External"/><Relationship Id="rId1124" Type="http://schemas.openxmlformats.org/officeDocument/2006/relationships/hyperlink" Target="https://docs.google.com/document/d/1N4ev_BLCiCHMtht2W9rwWWkvEkmFNgGD7u6seYjuAd8/edit?usp=drivesdk" TargetMode="External"/><Relationship Id="rId1366" Type="http://schemas.openxmlformats.org/officeDocument/2006/relationships/hyperlink" Target="https://docs.google.com/document/d/1iswk2A_yXtFaJ2YggQ7BlNtgyZNHl_Rl-nYeSfyAbkw/edit?usp=drivesdk" TargetMode="External"/><Relationship Id="rId1158" Type="http://schemas.openxmlformats.org/officeDocument/2006/relationships/hyperlink" Target="https://docs.google.com/document/d/14VRgRLyNUYgaNxw0kKNn8mTszxAq1OVf8O5CO-74PYQ/edit?usp=drivesdk" TargetMode="External"/><Relationship Id="rId1159" Type="http://schemas.openxmlformats.org/officeDocument/2006/relationships/hyperlink" Target="https://docs.google.com/document/d/14VRgRLyNUYgaNxw0kKNn8mTszxAq1OVf8O5CO-74PYQ/edit?usp=drivesdk" TargetMode="External"/><Relationship Id="rId327" Type="http://schemas.openxmlformats.org/officeDocument/2006/relationships/hyperlink" Target="https://docs.google.com/document/d/19ffcUYEZMcB_FGt-yW3muA_Tz_CiRDTUiRDAY9okDk4/edit?usp=drivesdk" TargetMode="External"/><Relationship Id="rId569" Type="http://schemas.openxmlformats.org/officeDocument/2006/relationships/hyperlink" Target="https://docs.google.com/document/d/1r5-l9qWxqyg8YNS-752au49k0FaTqK_75GfXi-pS6ns/edit?usp=drivesdk" TargetMode="External"/><Relationship Id="rId326" Type="http://schemas.openxmlformats.org/officeDocument/2006/relationships/hyperlink" Target="https://docs.google.com/document/d/19ffcUYEZMcB_FGt-yW3muA_Tz_CiRDTUiRDAY9okDk4/edit?usp=drivesdk" TargetMode="External"/><Relationship Id="rId568" Type="http://schemas.openxmlformats.org/officeDocument/2006/relationships/hyperlink" Target="https://docs.google.com/document/d/1r5-l9qWxqyg8YNS-752au49k0FaTqK_75GfXi-pS6ns/edit?usp=drivesdk" TargetMode="External"/><Relationship Id="rId325" Type="http://schemas.openxmlformats.org/officeDocument/2006/relationships/hyperlink" Target="https://docs.google.com/document/d/19ffcUYEZMcB_FGt-yW3muA_Tz_CiRDTUiRDAY9okDk4/edit?usp=drivesdk" TargetMode="External"/><Relationship Id="rId567" Type="http://schemas.openxmlformats.org/officeDocument/2006/relationships/hyperlink" Target="https://docs.google.com/document/d/1r5-l9qWxqyg8YNS-752au49k0FaTqK_75GfXi-pS6ns/edit?usp=drivesdk" TargetMode="External"/><Relationship Id="rId324" Type="http://schemas.openxmlformats.org/officeDocument/2006/relationships/hyperlink" Target="https://docs.google.com/document/d/19ffcUYEZMcB_FGt-yW3muA_Tz_CiRDTUiRDAY9okDk4/edit?usp=drivesdk" TargetMode="External"/><Relationship Id="rId566" Type="http://schemas.openxmlformats.org/officeDocument/2006/relationships/hyperlink" Target="https://docs.google.com/document/d/1PKIoBg1GlrdtZND1qoi3B58KvZiQ7nNGBuJ7tdj5coc/edit?usp=drivesdk" TargetMode="External"/><Relationship Id="rId329" Type="http://schemas.openxmlformats.org/officeDocument/2006/relationships/hyperlink" Target="https://docs.google.com/document/d/19ffcUYEZMcB_FGt-yW3muA_Tz_CiRDTUiRDAY9okDk4/edit?usp=drivesdk" TargetMode="External"/><Relationship Id="rId1390" Type="http://schemas.openxmlformats.org/officeDocument/2006/relationships/hyperlink" Target="https://docs.google.com/document/d/11yAp_tS40htHrauwFGc7itvYLEL0PSsZL-8seIgt99Q/edit?usp=drivesdk" TargetMode="External"/><Relationship Id="rId328" Type="http://schemas.openxmlformats.org/officeDocument/2006/relationships/hyperlink" Target="https://docs.google.com/document/d/19ffcUYEZMcB_FGt-yW3muA_Tz_CiRDTUiRDAY9okDk4/edit?usp=drivesdk" TargetMode="External"/><Relationship Id="rId1391" Type="http://schemas.openxmlformats.org/officeDocument/2006/relationships/drawing" Target="../drawings/drawing8.xml"/><Relationship Id="rId561" Type="http://schemas.openxmlformats.org/officeDocument/2006/relationships/hyperlink" Target="https://docs.google.com/document/d/1PKIoBg1GlrdtZND1qoi3B58KvZiQ7nNGBuJ7tdj5coc/edit?usp=drivesdk" TargetMode="External"/><Relationship Id="rId1150" Type="http://schemas.openxmlformats.org/officeDocument/2006/relationships/hyperlink" Target="https://docs.google.com/document/d/1hGNbDRfGTrN-KseK3XfxbOe59qfjC_3_BqVrt4fjLwk/edit?usp=drivesdk" TargetMode="External"/><Relationship Id="rId560" Type="http://schemas.openxmlformats.org/officeDocument/2006/relationships/hyperlink" Target="https://docs.google.com/document/d/1PKIoBg1GlrdtZND1qoi3B58KvZiQ7nNGBuJ7tdj5coc/edit?usp=drivesdk" TargetMode="External"/><Relationship Id="rId1151" Type="http://schemas.openxmlformats.org/officeDocument/2006/relationships/hyperlink" Target="https://docs.google.com/document/d/1hGNbDRfGTrN-KseK3XfxbOe59qfjC_3_BqVrt4fjLwk/edit?usp=drivesdk" TargetMode="External"/><Relationship Id="rId1152" Type="http://schemas.openxmlformats.org/officeDocument/2006/relationships/hyperlink" Target="https://docs.google.com/document/d/14VRgRLyNUYgaNxw0kKNn8mTszxAq1OVf8O5CO-74PYQ/edit?usp=drivesdk" TargetMode="External"/><Relationship Id="rId1153" Type="http://schemas.openxmlformats.org/officeDocument/2006/relationships/hyperlink" Target="https://docs.google.com/document/d/14VRgRLyNUYgaNxw0kKNn8mTszxAq1OVf8O5CO-74PYQ/edit?usp=drivesdk" TargetMode="External"/><Relationship Id="rId323" Type="http://schemas.openxmlformats.org/officeDocument/2006/relationships/hyperlink" Target="https://docs.google.com/document/d/19ffcUYEZMcB_FGt-yW3muA_Tz_CiRDTUiRDAY9okDk4/edit?usp=drivesdk" TargetMode="External"/><Relationship Id="rId565" Type="http://schemas.openxmlformats.org/officeDocument/2006/relationships/hyperlink" Target="https://docs.google.com/document/d/1PKIoBg1GlrdtZND1qoi3B58KvZiQ7nNGBuJ7tdj5coc/edit?usp=drivesdk" TargetMode="External"/><Relationship Id="rId1154" Type="http://schemas.openxmlformats.org/officeDocument/2006/relationships/hyperlink" Target="https://docs.google.com/document/d/14VRgRLyNUYgaNxw0kKNn8mTszxAq1OVf8O5CO-74PYQ/edit?usp=drivesdk" TargetMode="External"/><Relationship Id="rId322" Type="http://schemas.openxmlformats.org/officeDocument/2006/relationships/hyperlink" Target="https://docs.google.com/document/d/19ffcUYEZMcB_FGt-yW3muA_Tz_CiRDTUiRDAY9okDk4/edit?usp=drivesdk" TargetMode="External"/><Relationship Id="rId564" Type="http://schemas.openxmlformats.org/officeDocument/2006/relationships/hyperlink" Target="https://docs.google.com/document/d/1PKIoBg1GlrdtZND1qoi3B58KvZiQ7nNGBuJ7tdj5coc/edit?usp=drivesdk" TargetMode="External"/><Relationship Id="rId1155" Type="http://schemas.openxmlformats.org/officeDocument/2006/relationships/hyperlink" Target="https://docs.google.com/document/d/14VRgRLyNUYgaNxw0kKNn8mTszxAq1OVf8O5CO-74PYQ/edit?usp=drivesdk" TargetMode="External"/><Relationship Id="rId321" Type="http://schemas.openxmlformats.org/officeDocument/2006/relationships/hyperlink" Target="https://docs.google.com/document/d/19ffcUYEZMcB_FGt-yW3muA_Tz_CiRDTUiRDAY9okDk4/edit?usp=drivesdk" TargetMode="External"/><Relationship Id="rId563" Type="http://schemas.openxmlformats.org/officeDocument/2006/relationships/hyperlink" Target="https://docs.google.com/document/d/1PKIoBg1GlrdtZND1qoi3B58KvZiQ7nNGBuJ7tdj5coc/edit?usp=drivesdk" TargetMode="External"/><Relationship Id="rId1156" Type="http://schemas.openxmlformats.org/officeDocument/2006/relationships/hyperlink" Target="https://docs.google.com/document/d/14VRgRLyNUYgaNxw0kKNn8mTszxAq1OVf8O5CO-74PYQ/edit?usp=drivesdk" TargetMode="External"/><Relationship Id="rId320" Type="http://schemas.openxmlformats.org/officeDocument/2006/relationships/hyperlink" Target="https://docs.google.com/document/d/19ffcUYEZMcB_FGt-yW3muA_Tz_CiRDTUiRDAY9okDk4/edit?usp=drivesdk" TargetMode="External"/><Relationship Id="rId562" Type="http://schemas.openxmlformats.org/officeDocument/2006/relationships/hyperlink" Target="https://docs.google.com/document/d/1PKIoBg1GlrdtZND1qoi3B58KvZiQ7nNGBuJ7tdj5coc/edit?usp=drivesdk" TargetMode="External"/><Relationship Id="rId1157" Type="http://schemas.openxmlformats.org/officeDocument/2006/relationships/hyperlink" Target="https://docs.google.com/document/d/14VRgRLyNUYgaNxw0kKNn8mTszxAq1OVf8O5CO-74PYQ/edit?usp=drivesdk" TargetMode="External"/><Relationship Id="rId1147" Type="http://schemas.openxmlformats.org/officeDocument/2006/relationships/hyperlink" Target="https://docs.google.com/document/d/1hGNbDRfGTrN-KseK3XfxbOe59qfjC_3_BqVrt4fjLwk/edit?usp=drivesdk" TargetMode="External"/><Relationship Id="rId1389" Type="http://schemas.openxmlformats.org/officeDocument/2006/relationships/hyperlink" Target="https://docs.google.com/document/d/11yAp_tS40htHrauwFGc7itvYLEL0PSsZL-8seIgt99Q/edit?usp=drivesdk" TargetMode="External"/><Relationship Id="rId1148" Type="http://schemas.openxmlformats.org/officeDocument/2006/relationships/hyperlink" Target="https://docs.google.com/document/d/1hGNbDRfGTrN-KseK3XfxbOe59qfjC_3_BqVrt4fjLwk/edit?usp=drivesdk" TargetMode="External"/><Relationship Id="rId1149" Type="http://schemas.openxmlformats.org/officeDocument/2006/relationships/hyperlink" Target="https://docs.google.com/document/d/1hGNbDRfGTrN-KseK3XfxbOe59qfjC_3_BqVrt4fjLwk/edit?usp=drivesdk" TargetMode="External"/><Relationship Id="rId316" Type="http://schemas.openxmlformats.org/officeDocument/2006/relationships/hyperlink" Target="https://docs.google.com/document/d/1ykFxW2lOcRAk3SpSZPD0496KYiG-W_Q7NpSsrRmTTxE/edit?usp=drivesdk" TargetMode="External"/><Relationship Id="rId558" Type="http://schemas.openxmlformats.org/officeDocument/2006/relationships/hyperlink" Target="https://docs.google.com/document/d/1PKIoBg1GlrdtZND1qoi3B58KvZiQ7nNGBuJ7tdj5coc/edit?usp=drivesdk" TargetMode="External"/><Relationship Id="rId315" Type="http://schemas.openxmlformats.org/officeDocument/2006/relationships/hyperlink" Target="https://docs.google.com/document/d/1ykFxW2lOcRAk3SpSZPD0496KYiG-W_Q7NpSsrRmTTxE/edit?usp=drivesdk" TargetMode="External"/><Relationship Id="rId557" Type="http://schemas.openxmlformats.org/officeDocument/2006/relationships/hyperlink" Target="https://docs.google.com/document/d/1PKIoBg1GlrdtZND1qoi3B58KvZiQ7nNGBuJ7tdj5coc/edit?usp=drivesdk" TargetMode="External"/><Relationship Id="rId799" Type="http://schemas.openxmlformats.org/officeDocument/2006/relationships/hyperlink" Target="https://docs.google.com/document/d/10eiYZzJYoyN7Sjpsb5J6PlNAbmc0266CUG2LWR3_4yE/edit?usp=drivesdk" TargetMode="External"/><Relationship Id="rId314" Type="http://schemas.openxmlformats.org/officeDocument/2006/relationships/hyperlink" Target="https://docs.google.com/document/d/1ykFxW2lOcRAk3SpSZPD0496KYiG-W_Q7NpSsrRmTTxE/edit?usp=drivesdk" TargetMode="External"/><Relationship Id="rId556" Type="http://schemas.openxmlformats.org/officeDocument/2006/relationships/hyperlink" Target="https://docs.google.com/document/d/1PKIoBg1GlrdtZND1qoi3B58KvZiQ7nNGBuJ7tdj5coc/edit?usp=drivesdk" TargetMode="External"/><Relationship Id="rId798" Type="http://schemas.openxmlformats.org/officeDocument/2006/relationships/hyperlink" Target="https://docs.google.com/document/d/10eiYZzJYoyN7Sjpsb5J6PlNAbmc0266CUG2LWR3_4yE/edit?usp=drivesdk" TargetMode="External"/><Relationship Id="rId313" Type="http://schemas.openxmlformats.org/officeDocument/2006/relationships/hyperlink" Target="https://docs.google.com/document/d/1ykFxW2lOcRAk3SpSZPD0496KYiG-W_Q7NpSsrRmTTxE/edit?usp=drivesdk" TargetMode="External"/><Relationship Id="rId555" Type="http://schemas.openxmlformats.org/officeDocument/2006/relationships/hyperlink" Target="https://docs.google.com/document/d/1ydMbEoBR8lcZYWuOI90ria_xEphmhSvDYoI7jQ-LT_U/edit?usp=drivesdk" TargetMode="External"/><Relationship Id="rId797" Type="http://schemas.openxmlformats.org/officeDocument/2006/relationships/hyperlink" Target="https://docs.google.com/document/d/10eiYZzJYoyN7Sjpsb5J6PlNAbmc0266CUG2LWR3_4yE/edit?usp=drivesdk" TargetMode="External"/><Relationship Id="rId319" Type="http://schemas.openxmlformats.org/officeDocument/2006/relationships/hyperlink" Target="https://docs.google.com/document/d/1ykFxW2lOcRAk3SpSZPD0496KYiG-W_Q7NpSsrRmTTxE/edit?usp=drivesdk" TargetMode="External"/><Relationship Id="rId318" Type="http://schemas.openxmlformats.org/officeDocument/2006/relationships/hyperlink" Target="https://docs.google.com/document/d/1ykFxW2lOcRAk3SpSZPD0496KYiG-W_Q7NpSsrRmTTxE/edit?usp=drivesdk" TargetMode="External"/><Relationship Id="rId317" Type="http://schemas.openxmlformats.org/officeDocument/2006/relationships/hyperlink" Target="https://docs.google.com/document/d/1ykFxW2lOcRAk3SpSZPD0496KYiG-W_Q7NpSsrRmTTxE/edit?usp=drivesdk" TargetMode="External"/><Relationship Id="rId559" Type="http://schemas.openxmlformats.org/officeDocument/2006/relationships/hyperlink" Target="https://docs.google.com/document/d/1PKIoBg1GlrdtZND1qoi3B58KvZiQ7nNGBuJ7tdj5coc/edit?usp=drivesdk" TargetMode="External"/><Relationship Id="rId1380" Type="http://schemas.openxmlformats.org/officeDocument/2006/relationships/hyperlink" Target="https://docs.google.com/document/d/1EggRMnuRf4z611iUeXuLoUIrRN49ASkcA8tMhh_jbX8/edit?usp=drivesdk" TargetMode="External"/><Relationship Id="rId550" Type="http://schemas.openxmlformats.org/officeDocument/2006/relationships/hyperlink" Target="https://docs.google.com/document/d/1ydMbEoBR8lcZYWuOI90ria_xEphmhSvDYoI7jQ-LT_U/edit?usp=drivesdk" TargetMode="External"/><Relationship Id="rId792" Type="http://schemas.openxmlformats.org/officeDocument/2006/relationships/hyperlink" Target="https://docs.google.com/document/d/10eiYZzJYoyN7Sjpsb5J6PlNAbmc0266CUG2LWR3_4yE/edit?usp=drivesdk" TargetMode="External"/><Relationship Id="rId1381" Type="http://schemas.openxmlformats.org/officeDocument/2006/relationships/hyperlink" Target="https://docs.google.com/document/d/1EggRMnuRf4z611iUeXuLoUIrRN49ASkcA8tMhh_jbX8/edit?usp=drivesdk" TargetMode="External"/><Relationship Id="rId791" Type="http://schemas.openxmlformats.org/officeDocument/2006/relationships/hyperlink" Target="https://docs.google.com/document/d/10eiYZzJYoyN7Sjpsb5J6PlNAbmc0266CUG2LWR3_4yE/edit?usp=drivesdk" TargetMode="External"/><Relationship Id="rId1140" Type="http://schemas.openxmlformats.org/officeDocument/2006/relationships/hyperlink" Target="https://docs.google.com/document/d/1hGNbDRfGTrN-KseK3XfxbOe59qfjC_3_BqVrt4fjLwk/edit?usp=drivesdk" TargetMode="External"/><Relationship Id="rId1382" Type="http://schemas.openxmlformats.org/officeDocument/2006/relationships/hyperlink" Target="https://docs.google.com/document/d/1EggRMnuRf4z611iUeXuLoUIrRN49ASkcA8tMhh_jbX8/edit?usp=drivesdk" TargetMode="External"/><Relationship Id="rId790" Type="http://schemas.openxmlformats.org/officeDocument/2006/relationships/hyperlink" Target="https://docs.google.com/document/d/10eiYZzJYoyN7Sjpsb5J6PlNAbmc0266CUG2LWR3_4yE/edit?usp=drivesdk" TargetMode="External"/><Relationship Id="rId1141" Type="http://schemas.openxmlformats.org/officeDocument/2006/relationships/hyperlink" Target="https://docs.google.com/document/d/1hGNbDRfGTrN-KseK3XfxbOe59qfjC_3_BqVrt4fjLwk/edit?usp=drivesdk" TargetMode="External"/><Relationship Id="rId1383" Type="http://schemas.openxmlformats.org/officeDocument/2006/relationships/hyperlink" Target="https://docs.google.com/document/d/1EggRMnuRf4z611iUeXuLoUIrRN49ASkcA8tMhh_jbX8/edit?usp=drivesdk" TargetMode="External"/><Relationship Id="rId1142" Type="http://schemas.openxmlformats.org/officeDocument/2006/relationships/hyperlink" Target="https://docs.google.com/document/d/1hGNbDRfGTrN-KseK3XfxbOe59qfjC_3_BqVrt4fjLwk/edit?usp=drivesdk" TargetMode="External"/><Relationship Id="rId1384" Type="http://schemas.openxmlformats.org/officeDocument/2006/relationships/hyperlink" Target="https://docs.google.com/document/d/1EggRMnuRf4z611iUeXuLoUIrRN49ASkcA8tMhh_jbX8/edit?usp=drivesdk" TargetMode="External"/><Relationship Id="rId312" Type="http://schemas.openxmlformats.org/officeDocument/2006/relationships/hyperlink" Target="https://docs.google.com/document/d/1ykFxW2lOcRAk3SpSZPD0496KYiG-W_Q7NpSsrRmTTxE/edit?usp=drivesdk" TargetMode="External"/><Relationship Id="rId554" Type="http://schemas.openxmlformats.org/officeDocument/2006/relationships/hyperlink" Target="https://docs.google.com/document/d/1ydMbEoBR8lcZYWuOI90ria_xEphmhSvDYoI7jQ-LT_U/edit?usp=drivesdk" TargetMode="External"/><Relationship Id="rId796" Type="http://schemas.openxmlformats.org/officeDocument/2006/relationships/hyperlink" Target="https://docs.google.com/document/d/10eiYZzJYoyN7Sjpsb5J6PlNAbmc0266CUG2LWR3_4yE/edit?usp=drivesdk" TargetMode="External"/><Relationship Id="rId1143" Type="http://schemas.openxmlformats.org/officeDocument/2006/relationships/hyperlink" Target="https://docs.google.com/document/d/1hGNbDRfGTrN-KseK3XfxbOe59qfjC_3_BqVrt4fjLwk/edit?usp=drivesdk" TargetMode="External"/><Relationship Id="rId1385" Type="http://schemas.openxmlformats.org/officeDocument/2006/relationships/hyperlink" Target="https://docs.google.com/document/d/1EggRMnuRf4z611iUeXuLoUIrRN49ASkcA8tMhh_jbX8/edit?usp=drivesdk" TargetMode="External"/><Relationship Id="rId311" Type="http://schemas.openxmlformats.org/officeDocument/2006/relationships/hyperlink" Target="https://docs.google.com/document/d/1ykFxW2lOcRAk3SpSZPD0496KYiG-W_Q7NpSsrRmTTxE/edit?usp=drivesdk" TargetMode="External"/><Relationship Id="rId553" Type="http://schemas.openxmlformats.org/officeDocument/2006/relationships/hyperlink" Target="https://docs.google.com/document/d/1ydMbEoBR8lcZYWuOI90ria_xEphmhSvDYoI7jQ-LT_U/edit?usp=drivesdk" TargetMode="External"/><Relationship Id="rId795" Type="http://schemas.openxmlformats.org/officeDocument/2006/relationships/hyperlink" Target="https://docs.google.com/document/d/10eiYZzJYoyN7Sjpsb5J6PlNAbmc0266CUG2LWR3_4yE/edit?usp=drivesdk" TargetMode="External"/><Relationship Id="rId1144" Type="http://schemas.openxmlformats.org/officeDocument/2006/relationships/hyperlink" Target="https://docs.google.com/document/d/1hGNbDRfGTrN-KseK3XfxbOe59qfjC_3_BqVrt4fjLwk/edit?usp=drivesdk" TargetMode="External"/><Relationship Id="rId1386" Type="http://schemas.openxmlformats.org/officeDocument/2006/relationships/hyperlink" Target="https://docs.google.com/document/d/11yAp_tS40htHrauwFGc7itvYLEL0PSsZL-8seIgt99Q/edit?usp=drivesdk" TargetMode="External"/><Relationship Id="rId310" Type="http://schemas.openxmlformats.org/officeDocument/2006/relationships/hyperlink" Target="https://docs.google.com/document/d/1ykFxW2lOcRAk3SpSZPD0496KYiG-W_Q7NpSsrRmTTxE/edit?usp=drivesdk" TargetMode="External"/><Relationship Id="rId552" Type="http://schemas.openxmlformats.org/officeDocument/2006/relationships/hyperlink" Target="https://docs.google.com/document/d/1ydMbEoBR8lcZYWuOI90ria_xEphmhSvDYoI7jQ-LT_U/edit?usp=drivesdk" TargetMode="External"/><Relationship Id="rId794" Type="http://schemas.openxmlformats.org/officeDocument/2006/relationships/hyperlink" Target="https://docs.google.com/document/d/10eiYZzJYoyN7Sjpsb5J6PlNAbmc0266CUG2LWR3_4yE/edit?usp=drivesdk" TargetMode="External"/><Relationship Id="rId1145" Type="http://schemas.openxmlformats.org/officeDocument/2006/relationships/hyperlink" Target="https://docs.google.com/document/d/1hGNbDRfGTrN-KseK3XfxbOe59qfjC_3_BqVrt4fjLwk/edit?usp=drivesdk" TargetMode="External"/><Relationship Id="rId1387" Type="http://schemas.openxmlformats.org/officeDocument/2006/relationships/hyperlink" Target="https://docs.google.com/document/d/11yAp_tS40htHrauwFGc7itvYLEL0PSsZL-8seIgt99Q/edit?usp=drivesdk" TargetMode="External"/><Relationship Id="rId551" Type="http://schemas.openxmlformats.org/officeDocument/2006/relationships/hyperlink" Target="https://docs.google.com/document/d/1ydMbEoBR8lcZYWuOI90ria_xEphmhSvDYoI7jQ-LT_U/edit?usp=drivesdk" TargetMode="External"/><Relationship Id="rId793" Type="http://schemas.openxmlformats.org/officeDocument/2006/relationships/hyperlink" Target="https://docs.google.com/document/d/10eiYZzJYoyN7Sjpsb5J6PlNAbmc0266CUG2LWR3_4yE/edit?usp=drivesdk" TargetMode="External"/><Relationship Id="rId1146" Type="http://schemas.openxmlformats.org/officeDocument/2006/relationships/hyperlink" Target="https://docs.google.com/document/d/1hGNbDRfGTrN-KseK3XfxbOe59qfjC_3_BqVrt4fjLwk/edit?usp=drivesdk" TargetMode="External"/><Relationship Id="rId1388" Type="http://schemas.openxmlformats.org/officeDocument/2006/relationships/hyperlink" Target="https://docs.google.com/document/d/11yAp_tS40htHrauwFGc7itvYLEL0PSsZL-8seIgt99Q/edit?usp=drivesdk" TargetMode="External"/><Relationship Id="rId297" Type="http://schemas.openxmlformats.org/officeDocument/2006/relationships/hyperlink" Target="https://docs.google.com/document/d/1utIBgr8m3RpunGbt88_YJ40lmYH6j9nZKLSJCskjYOI/edit?usp=drivesdk" TargetMode="External"/><Relationship Id="rId296" Type="http://schemas.openxmlformats.org/officeDocument/2006/relationships/hyperlink" Target="https://docs.google.com/document/d/1utIBgr8m3RpunGbt88_YJ40lmYH6j9nZKLSJCskjYOI/edit?usp=drivesdk" TargetMode="External"/><Relationship Id="rId295" Type="http://schemas.openxmlformats.org/officeDocument/2006/relationships/hyperlink" Target="https://docs.google.com/document/d/1V69srP2VGgOIaabiqHI3c5HF3FyPs5Awod11YxC71ec/edit?usp=drivesdk" TargetMode="External"/><Relationship Id="rId294" Type="http://schemas.openxmlformats.org/officeDocument/2006/relationships/hyperlink" Target="https://docs.google.com/document/d/1V69srP2VGgOIaabiqHI3c5HF3FyPs5Awod11YxC71ec/edit?usp=drivesdk" TargetMode="External"/><Relationship Id="rId299" Type="http://schemas.openxmlformats.org/officeDocument/2006/relationships/hyperlink" Target="https://docs.google.com/document/d/1utIBgr8m3RpunGbt88_YJ40lmYH6j9nZKLSJCskjYOI/edit?usp=drivesdk" TargetMode="External"/><Relationship Id="rId298" Type="http://schemas.openxmlformats.org/officeDocument/2006/relationships/hyperlink" Target="https://docs.google.com/document/d/1utIBgr8m3RpunGbt88_YJ40lmYH6j9nZKLSJCskjYOI/edit?usp=drivesdk" TargetMode="External"/><Relationship Id="rId271" Type="http://schemas.openxmlformats.org/officeDocument/2006/relationships/hyperlink" Target="https://docs.google.com/document/d/1WmYAhnInYdQfVt7LAOLYCCIKhzwxPyV9Vn9aJHIUJ5E/edit?usp=drivesdk" TargetMode="External"/><Relationship Id="rId270" Type="http://schemas.openxmlformats.org/officeDocument/2006/relationships/hyperlink" Target="https://docs.google.com/document/d/1WmYAhnInYdQfVt7LAOLYCCIKhzwxPyV9Vn9aJHIUJ5E/edit?usp=drivesdk" TargetMode="External"/><Relationship Id="rId269" Type="http://schemas.openxmlformats.org/officeDocument/2006/relationships/hyperlink" Target="https://docs.google.com/document/d/1WmYAhnInYdQfVt7LAOLYCCIKhzwxPyV9Vn9aJHIUJ5E/edit?usp=drivesdk" TargetMode="External"/><Relationship Id="rId264" Type="http://schemas.openxmlformats.org/officeDocument/2006/relationships/hyperlink" Target="https://docs.google.com/document/d/1ZNZ5SaIambW0TRn75C2OFf1E32aU20kU6EsiR7Az_2g/edit?usp=drivesdk" TargetMode="External"/><Relationship Id="rId263" Type="http://schemas.openxmlformats.org/officeDocument/2006/relationships/hyperlink" Target="https://docs.google.com/document/d/1ZNZ5SaIambW0TRn75C2OFf1E32aU20kU6EsiR7Az_2g/edit?usp=drivesdk" TargetMode="External"/><Relationship Id="rId262" Type="http://schemas.openxmlformats.org/officeDocument/2006/relationships/hyperlink" Target="https://docs.google.com/document/d/1ZNZ5SaIambW0TRn75C2OFf1E32aU20kU6EsiR7Az_2g/edit?usp=drivesdk" TargetMode="External"/><Relationship Id="rId261" Type="http://schemas.openxmlformats.org/officeDocument/2006/relationships/hyperlink" Target="https://docs.google.com/document/d/1ZNZ5SaIambW0TRn75C2OFf1E32aU20kU6EsiR7Az_2g/edit?usp=drivesdk" TargetMode="External"/><Relationship Id="rId268" Type="http://schemas.openxmlformats.org/officeDocument/2006/relationships/hyperlink" Target="https://docs.google.com/document/d/1ZNZ5SaIambW0TRn75C2OFf1E32aU20kU6EsiR7Az_2g/edit?usp=drivesdk" TargetMode="External"/><Relationship Id="rId267" Type="http://schemas.openxmlformats.org/officeDocument/2006/relationships/hyperlink" Target="https://docs.google.com/document/d/1ZNZ5SaIambW0TRn75C2OFf1E32aU20kU6EsiR7Az_2g/edit?usp=drivesdk" TargetMode="External"/><Relationship Id="rId266" Type="http://schemas.openxmlformats.org/officeDocument/2006/relationships/hyperlink" Target="https://docs.google.com/document/d/1ZNZ5SaIambW0TRn75C2OFf1E32aU20kU6EsiR7Az_2g/edit?usp=drivesdk" TargetMode="External"/><Relationship Id="rId265" Type="http://schemas.openxmlformats.org/officeDocument/2006/relationships/hyperlink" Target="https://docs.google.com/document/d/1ZNZ5SaIambW0TRn75C2OFf1E32aU20kU6EsiR7Az_2g/edit?usp=drivesdk" TargetMode="External"/><Relationship Id="rId260" Type="http://schemas.openxmlformats.org/officeDocument/2006/relationships/hyperlink" Target="https://docs.google.com/document/d/1ZNZ5SaIambW0TRn75C2OFf1E32aU20kU6EsiR7Az_2g/edit?usp=drivesdk" TargetMode="External"/><Relationship Id="rId259" Type="http://schemas.openxmlformats.org/officeDocument/2006/relationships/hyperlink" Target="https://docs.google.com/document/d/1j8N2mjEes42WQQAmHYNc-kJUgT-vSbrILiAI62vxcXE/edit?usp=drivesdk" TargetMode="External"/><Relationship Id="rId258" Type="http://schemas.openxmlformats.org/officeDocument/2006/relationships/hyperlink" Target="https://docs.google.com/document/d/1j8N2mjEes42WQQAmHYNc-kJUgT-vSbrILiAI62vxcXE/edit?usp=drivesdk" TargetMode="External"/><Relationship Id="rId253" Type="http://schemas.openxmlformats.org/officeDocument/2006/relationships/hyperlink" Target="https://docs.google.com/document/d/1j8N2mjEes42WQQAmHYNc-kJUgT-vSbrILiAI62vxcXE/edit?usp=drivesdk" TargetMode="External"/><Relationship Id="rId495" Type="http://schemas.openxmlformats.org/officeDocument/2006/relationships/hyperlink" Target="https://docs.google.com/document/d/11-mkPXfHCy38YNfEzRxh2xROeotmHiJ8oEZUgH_uvaI/edit?usp=drivesdk" TargetMode="External"/><Relationship Id="rId252" Type="http://schemas.openxmlformats.org/officeDocument/2006/relationships/hyperlink" Target="https://docs.google.com/document/d/1j8N2mjEes42WQQAmHYNc-kJUgT-vSbrILiAI62vxcXE/edit?usp=drivesdk" TargetMode="External"/><Relationship Id="rId494" Type="http://schemas.openxmlformats.org/officeDocument/2006/relationships/hyperlink" Target="https://docs.google.com/document/d/11-mkPXfHCy38YNfEzRxh2xROeotmHiJ8oEZUgH_uvaI/edit?usp=drivesdk" TargetMode="External"/><Relationship Id="rId251" Type="http://schemas.openxmlformats.org/officeDocument/2006/relationships/hyperlink" Target="https://docs.google.com/document/d/1j8N2mjEes42WQQAmHYNc-kJUgT-vSbrILiAI62vxcXE/edit?usp=drivesdk" TargetMode="External"/><Relationship Id="rId493" Type="http://schemas.openxmlformats.org/officeDocument/2006/relationships/hyperlink" Target="https://docs.google.com/document/d/1yBQ06bu5IiQVJ0TcbjkGp5E-KzQyoG8utbnocRt4tn0/edit?usp=drivesdk" TargetMode="External"/><Relationship Id="rId250" Type="http://schemas.openxmlformats.org/officeDocument/2006/relationships/hyperlink" Target="https://docs.google.com/document/d/1j8N2mjEes42WQQAmHYNc-kJUgT-vSbrILiAI62vxcXE/edit?usp=drivesdk" TargetMode="External"/><Relationship Id="rId492" Type="http://schemas.openxmlformats.org/officeDocument/2006/relationships/hyperlink" Target="https://docs.google.com/document/d/1yBQ06bu5IiQVJ0TcbjkGp5E-KzQyoG8utbnocRt4tn0/edit?usp=drivesdk" TargetMode="External"/><Relationship Id="rId257" Type="http://schemas.openxmlformats.org/officeDocument/2006/relationships/hyperlink" Target="https://docs.google.com/document/d/1j8N2mjEes42WQQAmHYNc-kJUgT-vSbrILiAI62vxcXE/edit?usp=drivesdk" TargetMode="External"/><Relationship Id="rId499" Type="http://schemas.openxmlformats.org/officeDocument/2006/relationships/hyperlink" Target="https://docs.google.com/document/d/11-mkPXfHCy38YNfEzRxh2xROeotmHiJ8oEZUgH_uvaI/edit?usp=drivesdk" TargetMode="External"/><Relationship Id="rId256" Type="http://schemas.openxmlformats.org/officeDocument/2006/relationships/hyperlink" Target="https://docs.google.com/document/d/1j8N2mjEes42WQQAmHYNc-kJUgT-vSbrILiAI62vxcXE/edit?usp=drivesdk" TargetMode="External"/><Relationship Id="rId498" Type="http://schemas.openxmlformats.org/officeDocument/2006/relationships/hyperlink" Target="https://docs.google.com/document/d/11-mkPXfHCy38YNfEzRxh2xROeotmHiJ8oEZUgH_uvaI/edit?usp=drivesdk" TargetMode="External"/><Relationship Id="rId255" Type="http://schemas.openxmlformats.org/officeDocument/2006/relationships/hyperlink" Target="https://docs.google.com/document/d/1j8N2mjEes42WQQAmHYNc-kJUgT-vSbrILiAI62vxcXE/edit?usp=drivesdk" TargetMode="External"/><Relationship Id="rId497" Type="http://schemas.openxmlformats.org/officeDocument/2006/relationships/hyperlink" Target="https://docs.google.com/document/d/11-mkPXfHCy38YNfEzRxh2xROeotmHiJ8oEZUgH_uvaI/edit?usp=drivesdk" TargetMode="External"/><Relationship Id="rId254" Type="http://schemas.openxmlformats.org/officeDocument/2006/relationships/hyperlink" Target="https://docs.google.com/document/d/1j8N2mjEes42WQQAmHYNc-kJUgT-vSbrILiAI62vxcXE/edit?usp=drivesdk" TargetMode="External"/><Relationship Id="rId496" Type="http://schemas.openxmlformats.org/officeDocument/2006/relationships/hyperlink" Target="https://docs.google.com/document/d/11-mkPXfHCy38YNfEzRxh2xROeotmHiJ8oEZUgH_uvaI/edit?usp=drivesdk" TargetMode="External"/><Relationship Id="rId293" Type="http://schemas.openxmlformats.org/officeDocument/2006/relationships/hyperlink" Target="https://docs.google.com/document/d/1V69srP2VGgOIaabiqHI3c5HF3FyPs5Awod11YxC71ec/edit?usp=drivesdk" TargetMode="External"/><Relationship Id="rId292" Type="http://schemas.openxmlformats.org/officeDocument/2006/relationships/hyperlink" Target="https://docs.google.com/document/d/1V69srP2VGgOIaabiqHI3c5HF3FyPs5Awod11YxC71ec/edit?usp=drivesdk" TargetMode="External"/><Relationship Id="rId291" Type="http://schemas.openxmlformats.org/officeDocument/2006/relationships/hyperlink" Target="https://docs.google.com/document/d/1V69srP2VGgOIaabiqHI3c5HF3FyPs5Awod11YxC71ec/edit?usp=drivesdk" TargetMode="External"/><Relationship Id="rId290" Type="http://schemas.openxmlformats.org/officeDocument/2006/relationships/hyperlink" Target="https://docs.google.com/document/d/1V69srP2VGgOIaabiqHI3c5HF3FyPs5Awod11YxC71ec/edit?usp=drivesdk" TargetMode="External"/><Relationship Id="rId286" Type="http://schemas.openxmlformats.org/officeDocument/2006/relationships/hyperlink" Target="https://docs.google.com/document/d/1WuquTY5I99LI10E-GpGqLHXdh5Hpkyp2N3lIDxXW5xY/edit?usp=drivesdk" TargetMode="External"/><Relationship Id="rId285" Type="http://schemas.openxmlformats.org/officeDocument/2006/relationships/hyperlink" Target="https://docs.google.com/document/d/1WuquTY5I99LI10E-GpGqLHXdh5Hpkyp2N3lIDxXW5xY/edit?usp=drivesdk" TargetMode="External"/><Relationship Id="rId284" Type="http://schemas.openxmlformats.org/officeDocument/2006/relationships/hyperlink" Target="https://docs.google.com/document/d/1WuquTY5I99LI10E-GpGqLHXdh5Hpkyp2N3lIDxXW5xY/edit?usp=drivesdk" TargetMode="External"/><Relationship Id="rId283" Type="http://schemas.openxmlformats.org/officeDocument/2006/relationships/hyperlink" Target="https://docs.google.com/document/d/1WuquTY5I99LI10E-GpGqLHXdh5Hpkyp2N3lIDxXW5xY/edit?usp=drivesdk" TargetMode="External"/><Relationship Id="rId289" Type="http://schemas.openxmlformats.org/officeDocument/2006/relationships/hyperlink" Target="https://docs.google.com/document/d/1V69srP2VGgOIaabiqHI3c5HF3FyPs5Awod11YxC71ec/edit?usp=drivesdk" TargetMode="External"/><Relationship Id="rId288" Type="http://schemas.openxmlformats.org/officeDocument/2006/relationships/hyperlink" Target="https://docs.google.com/document/d/1V69srP2VGgOIaabiqHI3c5HF3FyPs5Awod11YxC71ec/edit?usp=drivesdk" TargetMode="External"/><Relationship Id="rId287" Type="http://schemas.openxmlformats.org/officeDocument/2006/relationships/hyperlink" Target="https://docs.google.com/document/d/1WuquTY5I99LI10E-GpGqLHXdh5Hpkyp2N3lIDxXW5xY/edit?usp=drivesdk" TargetMode="External"/><Relationship Id="rId282" Type="http://schemas.openxmlformats.org/officeDocument/2006/relationships/hyperlink" Target="https://docs.google.com/document/d/1WuquTY5I99LI10E-GpGqLHXdh5Hpkyp2N3lIDxXW5xY/edit?usp=drivesdk" TargetMode="External"/><Relationship Id="rId281" Type="http://schemas.openxmlformats.org/officeDocument/2006/relationships/hyperlink" Target="https://docs.google.com/document/d/1WuquTY5I99LI10E-GpGqLHXdh5Hpkyp2N3lIDxXW5xY/edit?usp=drivesdk" TargetMode="External"/><Relationship Id="rId280" Type="http://schemas.openxmlformats.org/officeDocument/2006/relationships/hyperlink" Target="https://docs.google.com/document/d/1WuquTY5I99LI10E-GpGqLHXdh5Hpkyp2N3lIDxXW5xY/edit?usp=drivesdk" TargetMode="External"/><Relationship Id="rId275" Type="http://schemas.openxmlformats.org/officeDocument/2006/relationships/hyperlink" Target="https://docs.google.com/document/d/1WmYAhnInYdQfVt7LAOLYCCIKhzwxPyV9Vn9aJHIUJ5E/edit?usp=drivesdk" TargetMode="External"/><Relationship Id="rId274" Type="http://schemas.openxmlformats.org/officeDocument/2006/relationships/hyperlink" Target="https://docs.google.com/document/d/1WmYAhnInYdQfVt7LAOLYCCIKhzwxPyV9Vn9aJHIUJ5E/edit?usp=drivesdk" TargetMode="External"/><Relationship Id="rId273" Type="http://schemas.openxmlformats.org/officeDocument/2006/relationships/hyperlink" Target="https://docs.google.com/document/d/1WmYAhnInYdQfVt7LAOLYCCIKhzwxPyV9Vn9aJHIUJ5E/edit?usp=drivesdk" TargetMode="External"/><Relationship Id="rId272" Type="http://schemas.openxmlformats.org/officeDocument/2006/relationships/hyperlink" Target="https://docs.google.com/document/d/1WmYAhnInYdQfVt7LAOLYCCIKhzwxPyV9Vn9aJHIUJ5E/edit?usp=drivesdk" TargetMode="External"/><Relationship Id="rId279" Type="http://schemas.openxmlformats.org/officeDocument/2006/relationships/hyperlink" Target="https://docs.google.com/document/d/1WuquTY5I99LI10E-GpGqLHXdh5Hpkyp2N3lIDxXW5xY/edit?usp=drivesdk" TargetMode="External"/><Relationship Id="rId278" Type="http://schemas.openxmlformats.org/officeDocument/2006/relationships/hyperlink" Target="https://docs.google.com/document/d/1WuquTY5I99LI10E-GpGqLHXdh5Hpkyp2N3lIDxXW5xY/edit?usp=drivesdk" TargetMode="External"/><Relationship Id="rId277" Type="http://schemas.openxmlformats.org/officeDocument/2006/relationships/hyperlink" Target="https://docs.google.com/document/d/1WuquTY5I99LI10E-GpGqLHXdh5Hpkyp2N3lIDxXW5xY/edit?usp=drivesdk" TargetMode="External"/><Relationship Id="rId276" Type="http://schemas.openxmlformats.org/officeDocument/2006/relationships/hyperlink" Target="https://docs.google.com/document/d/1WuquTY5I99LI10E-GpGqLHXdh5Hpkyp2N3lIDxXW5xY/edit?usp=drivesdk" TargetMode="External"/><Relationship Id="rId907" Type="http://schemas.openxmlformats.org/officeDocument/2006/relationships/hyperlink" Target="https://docs.google.com/document/d/10Ko5MVkteAmQUiEFKNpgayMx7dXlp7lCNme7P1RYCBA/edit?usp=drivesdk" TargetMode="External"/><Relationship Id="rId906" Type="http://schemas.openxmlformats.org/officeDocument/2006/relationships/hyperlink" Target="https://docs.google.com/document/d/10Ko5MVkteAmQUiEFKNpgayMx7dXlp7lCNme7P1RYCBA/edit?usp=drivesdk" TargetMode="External"/><Relationship Id="rId905" Type="http://schemas.openxmlformats.org/officeDocument/2006/relationships/hyperlink" Target="https://docs.google.com/document/d/10Ko5MVkteAmQUiEFKNpgayMx7dXlp7lCNme7P1RYCBA/edit?usp=drivesdk" TargetMode="External"/><Relationship Id="rId904" Type="http://schemas.openxmlformats.org/officeDocument/2006/relationships/hyperlink" Target="https://docs.google.com/document/d/10Ko5MVkteAmQUiEFKNpgayMx7dXlp7lCNme7P1RYCBA/edit?usp=drivesdk" TargetMode="External"/><Relationship Id="rId909" Type="http://schemas.openxmlformats.org/officeDocument/2006/relationships/hyperlink" Target="https://docs.google.com/document/d/10Ko5MVkteAmQUiEFKNpgayMx7dXlp7lCNme7P1RYCBA/edit?usp=drivesdk" TargetMode="External"/><Relationship Id="rId908" Type="http://schemas.openxmlformats.org/officeDocument/2006/relationships/hyperlink" Target="https://docs.google.com/document/d/10Ko5MVkteAmQUiEFKNpgayMx7dXlp7lCNme7P1RYCBA/edit?usp=drivesdk" TargetMode="External"/><Relationship Id="rId903" Type="http://schemas.openxmlformats.org/officeDocument/2006/relationships/hyperlink" Target="https://docs.google.com/document/d/18UPqzRbv-w0wr4nIJwTx8w2tkM6Uh8nQ1xHlE_ijfC8/edit?usp=drivesdk" TargetMode="External"/><Relationship Id="rId902" Type="http://schemas.openxmlformats.org/officeDocument/2006/relationships/hyperlink" Target="https://docs.google.com/document/d/18UPqzRbv-w0wr4nIJwTx8w2tkM6Uh8nQ1xHlE_ijfC8/edit?usp=drivesdk" TargetMode="External"/><Relationship Id="rId901" Type="http://schemas.openxmlformats.org/officeDocument/2006/relationships/hyperlink" Target="https://docs.google.com/document/d/18UPqzRbv-w0wr4nIJwTx8w2tkM6Uh8nQ1xHlE_ijfC8/edit?usp=drivesdk" TargetMode="External"/><Relationship Id="rId900" Type="http://schemas.openxmlformats.org/officeDocument/2006/relationships/hyperlink" Target="https://docs.google.com/document/d/18UPqzRbv-w0wr4nIJwTx8w2tkM6Uh8nQ1xHlE_ijfC8/edit?usp=drivesdk" TargetMode="External"/><Relationship Id="rId929" Type="http://schemas.openxmlformats.org/officeDocument/2006/relationships/hyperlink" Target="https://docs.google.com/document/d/17dce6K9QeihQUF6ohKe6ivsDGIkMX3SfgvZYs-N_PM4/edit?usp=drivesdk" TargetMode="External"/><Relationship Id="rId928" Type="http://schemas.openxmlformats.org/officeDocument/2006/relationships/hyperlink" Target="https://docs.google.com/document/d/17dce6K9QeihQUF6ohKe6ivsDGIkMX3SfgvZYs-N_PM4/edit?usp=drivesdk" TargetMode="External"/><Relationship Id="rId927" Type="http://schemas.openxmlformats.org/officeDocument/2006/relationships/hyperlink" Target="https://docs.google.com/document/d/17dce6K9QeihQUF6ohKe6ivsDGIkMX3SfgvZYs-N_PM4/edit?usp=drivesdk" TargetMode="External"/><Relationship Id="rId926" Type="http://schemas.openxmlformats.org/officeDocument/2006/relationships/hyperlink" Target="https://docs.google.com/document/d/17dce6K9QeihQUF6ohKe6ivsDGIkMX3SfgvZYs-N_PM4/edit?usp=drivesdk" TargetMode="External"/><Relationship Id="rId921" Type="http://schemas.openxmlformats.org/officeDocument/2006/relationships/hyperlink" Target="https://docs.google.com/document/d/17dce6K9QeihQUF6ohKe6ivsDGIkMX3SfgvZYs-N_PM4/edit?usp=drivesdk" TargetMode="External"/><Relationship Id="rId920" Type="http://schemas.openxmlformats.org/officeDocument/2006/relationships/hyperlink" Target="https://docs.google.com/document/d/17dce6K9QeihQUF6ohKe6ivsDGIkMX3SfgvZYs-N_PM4/edit?usp=drivesdk" TargetMode="External"/><Relationship Id="rId925" Type="http://schemas.openxmlformats.org/officeDocument/2006/relationships/hyperlink" Target="https://docs.google.com/document/d/17dce6K9QeihQUF6ohKe6ivsDGIkMX3SfgvZYs-N_PM4/edit?usp=drivesdk" TargetMode="External"/><Relationship Id="rId924" Type="http://schemas.openxmlformats.org/officeDocument/2006/relationships/hyperlink" Target="https://docs.google.com/document/d/17dce6K9QeihQUF6ohKe6ivsDGIkMX3SfgvZYs-N_PM4/edit?usp=drivesdk" TargetMode="External"/><Relationship Id="rId923" Type="http://schemas.openxmlformats.org/officeDocument/2006/relationships/hyperlink" Target="https://docs.google.com/document/d/17dce6K9QeihQUF6ohKe6ivsDGIkMX3SfgvZYs-N_PM4/edit?usp=drivesdk" TargetMode="External"/><Relationship Id="rId922" Type="http://schemas.openxmlformats.org/officeDocument/2006/relationships/hyperlink" Target="https://docs.google.com/document/d/17dce6K9QeihQUF6ohKe6ivsDGIkMX3SfgvZYs-N_PM4/edit?usp=drivesdk" TargetMode="External"/><Relationship Id="rId918" Type="http://schemas.openxmlformats.org/officeDocument/2006/relationships/hyperlink" Target="https://docs.google.com/document/d/10Ko5MVkteAmQUiEFKNpgayMx7dXlp7lCNme7P1RYCBA/edit?usp=drivesdk" TargetMode="External"/><Relationship Id="rId917" Type="http://schemas.openxmlformats.org/officeDocument/2006/relationships/hyperlink" Target="https://docs.google.com/document/d/10Ko5MVkteAmQUiEFKNpgayMx7dXlp7lCNme7P1RYCBA/edit?usp=drivesdk" TargetMode="External"/><Relationship Id="rId916" Type="http://schemas.openxmlformats.org/officeDocument/2006/relationships/hyperlink" Target="https://docs.google.com/document/d/10Ko5MVkteAmQUiEFKNpgayMx7dXlp7lCNme7P1RYCBA/edit?usp=drivesdk" TargetMode="External"/><Relationship Id="rId915" Type="http://schemas.openxmlformats.org/officeDocument/2006/relationships/hyperlink" Target="https://docs.google.com/document/d/10Ko5MVkteAmQUiEFKNpgayMx7dXlp7lCNme7P1RYCBA/edit?usp=drivesdk" TargetMode="External"/><Relationship Id="rId919" Type="http://schemas.openxmlformats.org/officeDocument/2006/relationships/hyperlink" Target="https://docs.google.com/document/d/10Ko5MVkteAmQUiEFKNpgayMx7dXlp7lCNme7P1RYCBA/edit?usp=drivesdk" TargetMode="External"/><Relationship Id="rId910" Type="http://schemas.openxmlformats.org/officeDocument/2006/relationships/hyperlink" Target="https://docs.google.com/document/d/10Ko5MVkteAmQUiEFKNpgayMx7dXlp7lCNme7P1RYCBA/edit?usp=drivesdk" TargetMode="External"/><Relationship Id="rId914" Type="http://schemas.openxmlformats.org/officeDocument/2006/relationships/hyperlink" Target="https://docs.google.com/document/d/10Ko5MVkteAmQUiEFKNpgayMx7dXlp7lCNme7P1RYCBA/edit?usp=drivesdk" TargetMode="External"/><Relationship Id="rId913" Type="http://schemas.openxmlformats.org/officeDocument/2006/relationships/hyperlink" Target="https://docs.google.com/document/d/10Ko5MVkteAmQUiEFKNpgayMx7dXlp7lCNme7P1RYCBA/edit?usp=drivesdk" TargetMode="External"/><Relationship Id="rId912" Type="http://schemas.openxmlformats.org/officeDocument/2006/relationships/hyperlink" Target="https://docs.google.com/document/d/10Ko5MVkteAmQUiEFKNpgayMx7dXlp7lCNme7P1RYCBA/edit?usp=drivesdk" TargetMode="External"/><Relationship Id="rId911" Type="http://schemas.openxmlformats.org/officeDocument/2006/relationships/hyperlink" Target="https://docs.google.com/document/d/10Ko5MVkteAmQUiEFKNpgayMx7dXlp7lCNme7P1RYCBA/edit?usp=drivesdk" TargetMode="External"/><Relationship Id="rId1213" Type="http://schemas.openxmlformats.org/officeDocument/2006/relationships/hyperlink" Target="https://docs.google.com/document/d/1ZhaEyqqygVTMahiL7BjigzV4UeT0J9joWZkWVhyKzvQ/edit?usp=drivesdk" TargetMode="External"/><Relationship Id="rId1214" Type="http://schemas.openxmlformats.org/officeDocument/2006/relationships/hyperlink" Target="https://docs.google.com/document/d/1ZhaEyqqygVTMahiL7BjigzV4UeT0J9joWZkWVhyKzvQ/edit?usp=drivesdk" TargetMode="External"/><Relationship Id="rId1215" Type="http://schemas.openxmlformats.org/officeDocument/2006/relationships/hyperlink" Target="https://docs.google.com/document/d/1ZhaEyqqygVTMahiL7BjigzV4UeT0J9joWZkWVhyKzvQ/edit?usp=drivesdk" TargetMode="External"/><Relationship Id="rId1216" Type="http://schemas.openxmlformats.org/officeDocument/2006/relationships/hyperlink" Target="https://docs.google.com/document/d/1ZhaEyqqygVTMahiL7BjigzV4UeT0J9joWZkWVhyKzvQ/edit?usp=drivesdk" TargetMode="External"/><Relationship Id="rId1217" Type="http://schemas.openxmlformats.org/officeDocument/2006/relationships/hyperlink" Target="https://docs.google.com/document/d/1ZhaEyqqygVTMahiL7BjigzV4UeT0J9joWZkWVhyKzvQ/edit?usp=drivesdk" TargetMode="External"/><Relationship Id="rId1218" Type="http://schemas.openxmlformats.org/officeDocument/2006/relationships/hyperlink" Target="https://docs.google.com/document/d/1ZhaEyqqygVTMahiL7BjigzV4UeT0J9joWZkWVhyKzvQ/edit?usp=drivesdk" TargetMode="External"/><Relationship Id="rId1219" Type="http://schemas.openxmlformats.org/officeDocument/2006/relationships/hyperlink" Target="https://docs.google.com/document/d/1ZhaEyqqygVTMahiL7BjigzV4UeT0J9joWZkWVhyKzvQ/edit?usp=drivesdk" TargetMode="External"/><Relationship Id="rId629" Type="http://schemas.openxmlformats.org/officeDocument/2006/relationships/hyperlink" Target="https://docs.google.com/document/d/1mluSToWCzFA-DsAgVhRg7OpqP05htdrXoxGrTc9d0Vo/edit?usp=drivesdk" TargetMode="External"/><Relationship Id="rId624" Type="http://schemas.openxmlformats.org/officeDocument/2006/relationships/hyperlink" Target="https://docs.google.com/document/d/1mluSToWCzFA-DsAgVhRg7OpqP05htdrXoxGrTc9d0Vo/edit?usp=drivesdk" TargetMode="External"/><Relationship Id="rId866" Type="http://schemas.openxmlformats.org/officeDocument/2006/relationships/hyperlink" Target="https://docs.google.com/document/d/1e91KCl0WjrvBj46PW2v2YPEfeIyIAngh24nRTgZqaVU/edit?usp=drivesdk" TargetMode="External"/><Relationship Id="rId623" Type="http://schemas.openxmlformats.org/officeDocument/2006/relationships/hyperlink" Target="https://docs.google.com/document/d/1mluSToWCzFA-DsAgVhRg7OpqP05htdrXoxGrTc9d0Vo/edit?usp=drivesdk" TargetMode="External"/><Relationship Id="rId865" Type="http://schemas.openxmlformats.org/officeDocument/2006/relationships/hyperlink" Target="https://docs.google.com/document/d/1e91KCl0WjrvBj46PW2v2YPEfeIyIAngh24nRTgZqaVU/edit?usp=drivesdk" TargetMode="External"/><Relationship Id="rId622" Type="http://schemas.openxmlformats.org/officeDocument/2006/relationships/hyperlink" Target="https://docs.google.com/document/d/1mluSToWCzFA-DsAgVhRg7OpqP05htdrXoxGrTc9d0Vo/edit?usp=drivesdk" TargetMode="External"/><Relationship Id="rId864" Type="http://schemas.openxmlformats.org/officeDocument/2006/relationships/hyperlink" Target="https://docs.google.com/document/d/1e91KCl0WjrvBj46PW2v2YPEfeIyIAngh24nRTgZqaVU/edit?usp=drivesdk" TargetMode="External"/><Relationship Id="rId621" Type="http://schemas.openxmlformats.org/officeDocument/2006/relationships/hyperlink" Target="https://docs.google.com/document/d/1mluSToWCzFA-DsAgVhRg7OpqP05htdrXoxGrTc9d0Vo/edit?usp=drivesdk" TargetMode="External"/><Relationship Id="rId863" Type="http://schemas.openxmlformats.org/officeDocument/2006/relationships/hyperlink" Target="https://docs.google.com/document/d/1e91KCl0WjrvBj46PW2v2YPEfeIyIAngh24nRTgZqaVU/edit?usp=drivesdk" TargetMode="External"/><Relationship Id="rId628" Type="http://schemas.openxmlformats.org/officeDocument/2006/relationships/hyperlink" Target="https://docs.google.com/document/d/1mluSToWCzFA-DsAgVhRg7OpqP05htdrXoxGrTc9d0Vo/edit?usp=drivesdk" TargetMode="External"/><Relationship Id="rId627" Type="http://schemas.openxmlformats.org/officeDocument/2006/relationships/hyperlink" Target="https://docs.google.com/document/d/1mluSToWCzFA-DsAgVhRg7OpqP05htdrXoxGrTc9d0Vo/edit?usp=drivesdk" TargetMode="External"/><Relationship Id="rId869" Type="http://schemas.openxmlformats.org/officeDocument/2006/relationships/hyperlink" Target="https://docs.google.com/document/d/1e91KCl0WjrvBj46PW2v2YPEfeIyIAngh24nRTgZqaVU/edit?usp=drivesdk" TargetMode="External"/><Relationship Id="rId626" Type="http://schemas.openxmlformats.org/officeDocument/2006/relationships/hyperlink" Target="https://docs.google.com/document/d/1mluSToWCzFA-DsAgVhRg7OpqP05htdrXoxGrTc9d0Vo/edit?usp=drivesdk" TargetMode="External"/><Relationship Id="rId868" Type="http://schemas.openxmlformats.org/officeDocument/2006/relationships/hyperlink" Target="https://docs.google.com/document/d/1e91KCl0WjrvBj46PW2v2YPEfeIyIAngh24nRTgZqaVU/edit?usp=drivesdk" TargetMode="External"/><Relationship Id="rId625" Type="http://schemas.openxmlformats.org/officeDocument/2006/relationships/hyperlink" Target="https://docs.google.com/document/d/1mluSToWCzFA-DsAgVhRg7OpqP05htdrXoxGrTc9d0Vo/edit?usp=drivesdk" TargetMode="External"/><Relationship Id="rId867" Type="http://schemas.openxmlformats.org/officeDocument/2006/relationships/hyperlink" Target="https://docs.google.com/document/d/1e91KCl0WjrvBj46PW2v2YPEfeIyIAngh24nRTgZqaVU/edit?usp=drivesdk" TargetMode="External"/><Relationship Id="rId620" Type="http://schemas.openxmlformats.org/officeDocument/2006/relationships/hyperlink" Target="https://docs.google.com/document/d/1mluSToWCzFA-DsAgVhRg7OpqP05htdrXoxGrTc9d0Vo/edit?usp=drivesdk" TargetMode="External"/><Relationship Id="rId862" Type="http://schemas.openxmlformats.org/officeDocument/2006/relationships/hyperlink" Target="https://docs.google.com/document/d/1e91KCl0WjrvBj46PW2v2YPEfeIyIAngh24nRTgZqaVU/edit?usp=drivesdk" TargetMode="External"/><Relationship Id="rId861" Type="http://schemas.openxmlformats.org/officeDocument/2006/relationships/hyperlink" Target="https://docs.google.com/document/d/1e91KCl0WjrvBj46PW2v2YPEfeIyIAngh24nRTgZqaVU/edit?usp=drivesdk" TargetMode="External"/><Relationship Id="rId1210" Type="http://schemas.openxmlformats.org/officeDocument/2006/relationships/hyperlink" Target="https://docs.google.com/document/d/1ZhaEyqqygVTMahiL7BjigzV4UeT0J9joWZkWVhyKzvQ/edit?usp=drivesdk" TargetMode="External"/><Relationship Id="rId860" Type="http://schemas.openxmlformats.org/officeDocument/2006/relationships/hyperlink" Target="https://docs.google.com/document/d/1e91KCl0WjrvBj46PW2v2YPEfeIyIAngh24nRTgZqaVU/edit?usp=drivesdk" TargetMode="External"/><Relationship Id="rId1211" Type="http://schemas.openxmlformats.org/officeDocument/2006/relationships/hyperlink" Target="https://docs.google.com/document/d/1ZhaEyqqygVTMahiL7BjigzV4UeT0J9joWZkWVhyKzvQ/edit?usp=drivesdk" TargetMode="External"/><Relationship Id="rId1212" Type="http://schemas.openxmlformats.org/officeDocument/2006/relationships/hyperlink" Target="https://docs.google.com/document/d/1ZhaEyqqygVTMahiL7BjigzV4UeT0J9joWZkWVhyKzvQ/edit?usp=drivesdk" TargetMode="External"/><Relationship Id="rId1202" Type="http://schemas.openxmlformats.org/officeDocument/2006/relationships/hyperlink" Target="https://docs.google.com/document/d/1BwdCkLDYS8pLmTfAbloDN7Hn7Q3UmYr1YtUI9PRFsh4/edit?usp=drivesdk" TargetMode="External"/><Relationship Id="rId1203" Type="http://schemas.openxmlformats.org/officeDocument/2006/relationships/hyperlink" Target="https://docs.google.com/document/d/1BwdCkLDYS8pLmTfAbloDN7Hn7Q3UmYr1YtUI9PRFsh4/edit?usp=drivesdk" TargetMode="External"/><Relationship Id="rId1204" Type="http://schemas.openxmlformats.org/officeDocument/2006/relationships/hyperlink" Target="https://docs.google.com/document/d/1BwdCkLDYS8pLmTfAbloDN7Hn7Q3UmYr1YtUI9PRFsh4/edit?usp=drivesdk" TargetMode="External"/><Relationship Id="rId1205" Type="http://schemas.openxmlformats.org/officeDocument/2006/relationships/hyperlink" Target="https://docs.google.com/document/d/1ZhaEyqqygVTMahiL7BjigzV4UeT0J9joWZkWVhyKzvQ/edit?usp=drivesdk" TargetMode="External"/><Relationship Id="rId1206" Type="http://schemas.openxmlformats.org/officeDocument/2006/relationships/hyperlink" Target="https://docs.google.com/document/d/1ZhaEyqqygVTMahiL7BjigzV4UeT0J9joWZkWVhyKzvQ/edit?usp=drivesdk" TargetMode="External"/><Relationship Id="rId1207" Type="http://schemas.openxmlformats.org/officeDocument/2006/relationships/hyperlink" Target="https://docs.google.com/document/d/1ZhaEyqqygVTMahiL7BjigzV4UeT0J9joWZkWVhyKzvQ/edit?usp=drivesdk" TargetMode="External"/><Relationship Id="rId1208" Type="http://schemas.openxmlformats.org/officeDocument/2006/relationships/hyperlink" Target="https://docs.google.com/document/d/1ZhaEyqqygVTMahiL7BjigzV4UeT0J9joWZkWVhyKzvQ/edit?usp=drivesdk" TargetMode="External"/><Relationship Id="rId1209" Type="http://schemas.openxmlformats.org/officeDocument/2006/relationships/hyperlink" Target="https://docs.google.com/document/d/1ZhaEyqqygVTMahiL7BjigzV4UeT0J9joWZkWVhyKzvQ/edit?usp=drivesdk" TargetMode="External"/><Relationship Id="rId619" Type="http://schemas.openxmlformats.org/officeDocument/2006/relationships/hyperlink" Target="https://docs.google.com/document/d/1mluSToWCzFA-DsAgVhRg7OpqP05htdrXoxGrTc9d0Vo/edit?usp=drivesdk" TargetMode="External"/><Relationship Id="rId618" Type="http://schemas.openxmlformats.org/officeDocument/2006/relationships/hyperlink" Target="https://docs.google.com/document/d/1mluSToWCzFA-DsAgVhRg7OpqP05htdrXoxGrTc9d0Vo/edit?usp=drivesdk" TargetMode="External"/><Relationship Id="rId613" Type="http://schemas.openxmlformats.org/officeDocument/2006/relationships/hyperlink" Target="https://docs.google.com/document/d/13tcvuMnybwokgAACkGDDMvLvwoSP5UWKfM60mf0OT4o/edit?usp=drivesdk" TargetMode="External"/><Relationship Id="rId855" Type="http://schemas.openxmlformats.org/officeDocument/2006/relationships/hyperlink" Target="https://docs.google.com/document/d/11G6Jm7uCTjSQ0xOCd0J7l4GpnM5XGO_Id20LaGp8NYY/edit?usp=drivesdk" TargetMode="External"/><Relationship Id="rId612" Type="http://schemas.openxmlformats.org/officeDocument/2006/relationships/hyperlink" Target="https://docs.google.com/document/d/13tcvuMnybwokgAACkGDDMvLvwoSP5UWKfM60mf0OT4o/edit?usp=drivesdk" TargetMode="External"/><Relationship Id="rId854" Type="http://schemas.openxmlformats.org/officeDocument/2006/relationships/hyperlink" Target="https://docs.google.com/document/d/11G6Jm7uCTjSQ0xOCd0J7l4GpnM5XGO_Id20LaGp8NYY/edit?usp=drivesdk" TargetMode="External"/><Relationship Id="rId611" Type="http://schemas.openxmlformats.org/officeDocument/2006/relationships/hyperlink" Target="https://docs.google.com/document/d/13tcvuMnybwokgAACkGDDMvLvwoSP5UWKfM60mf0OT4o/edit?usp=drivesdk" TargetMode="External"/><Relationship Id="rId853" Type="http://schemas.openxmlformats.org/officeDocument/2006/relationships/hyperlink" Target="https://docs.google.com/document/d/11G6Jm7uCTjSQ0xOCd0J7l4GpnM5XGO_Id20LaGp8NYY/edit?usp=drivesdk" TargetMode="External"/><Relationship Id="rId610" Type="http://schemas.openxmlformats.org/officeDocument/2006/relationships/hyperlink" Target="https://docs.google.com/document/d/13tcvuMnybwokgAACkGDDMvLvwoSP5UWKfM60mf0OT4o/edit?usp=drivesdk" TargetMode="External"/><Relationship Id="rId852" Type="http://schemas.openxmlformats.org/officeDocument/2006/relationships/hyperlink" Target="https://docs.google.com/document/d/1yCxzPKqlRVSPrOc7W3UPLWXT9Qhrm4FaV3UN_HJt8q8/edit?usp=drivesdk" TargetMode="External"/><Relationship Id="rId617" Type="http://schemas.openxmlformats.org/officeDocument/2006/relationships/hyperlink" Target="https://docs.google.com/document/d/1mluSToWCzFA-DsAgVhRg7OpqP05htdrXoxGrTc9d0Vo/edit?usp=drivesdk" TargetMode="External"/><Relationship Id="rId859" Type="http://schemas.openxmlformats.org/officeDocument/2006/relationships/hyperlink" Target="https://docs.google.com/document/d/1e91KCl0WjrvBj46PW2v2YPEfeIyIAngh24nRTgZqaVU/edit?usp=drivesdk" TargetMode="External"/><Relationship Id="rId616" Type="http://schemas.openxmlformats.org/officeDocument/2006/relationships/hyperlink" Target="https://docs.google.com/document/d/1mluSToWCzFA-DsAgVhRg7OpqP05htdrXoxGrTc9d0Vo/edit?usp=drivesdk" TargetMode="External"/><Relationship Id="rId858" Type="http://schemas.openxmlformats.org/officeDocument/2006/relationships/hyperlink" Target="https://docs.google.com/document/d/1e91KCl0WjrvBj46PW2v2YPEfeIyIAngh24nRTgZqaVU/edit?usp=drivesdk" TargetMode="External"/><Relationship Id="rId615" Type="http://schemas.openxmlformats.org/officeDocument/2006/relationships/hyperlink" Target="https://docs.google.com/document/d/1mluSToWCzFA-DsAgVhRg7OpqP05htdrXoxGrTc9d0Vo/edit?usp=drivesdk" TargetMode="External"/><Relationship Id="rId857" Type="http://schemas.openxmlformats.org/officeDocument/2006/relationships/hyperlink" Target="https://docs.google.com/document/d/1e91KCl0WjrvBj46PW2v2YPEfeIyIAngh24nRTgZqaVU/edit?usp=drivesdk" TargetMode="External"/><Relationship Id="rId614" Type="http://schemas.openxmlformats.org/officeDocument/2006/relationships/hyperlink" Target="https://docs.google.com/document/d/13tcvuMnybwokgAACkGDDMvLvwoSP5UWKfM60mf0OT4o/edit?usp=drivesdk" TargetMode="External"/><Relationship Id="rId856" Type="http://schemas.openxmlformats.org/officeDocument/2006/relationships/hyperlink" Target="https://docs.google.com/document/d/11G6Jm7uCTjSQ0xOCd0J7l4GpnM5XGO_Id20LaGp8NYY/edit?usp=drivesdk" TargetMode="External"/><Relationship Id="rId851" Type="http://schemas.openxmlformats.org/officeDocument/2006/relationships/hyperlink" Target="https://docs.google.com/document/d/1yCxzPKqlRVSPrOc7W3UPLWXT9Qhrm4FaV3UN_HJt8q8/edit?usp=drivesdk" TargetMode="External"/><Relationship Id="rId850" Type="http://schemas.openxmlformats.org/officeDocument/2006/relationships/hyperlink" Target="https://docs.google.com/document/d/1yCxzPKqlRVSPrOc7W3UPLWXT9Qhrm4FaV3UN_HJt8q8/edit?usp=drivesdk" TargetMode="External"/><Relationship Id="rId1200" Type="http://schemas.openxmlformats.org/officeDocument/2006/relationships/hyperlink" Target="https://docs.google.com/document/d/1BwdCkLDYS8pLmTfAbloDN7Hn7Q3UmYr1YtUI9PRFsh4/edit?usp=drivesdk" TargetMode="External"/><Relationship Id="rId1201" Type="http://schemas.openxmlformats.org/officeDocument/2006/relationships/hyperlink" Target="https://docs.google.com/document/d/1BwdCkLDYS8pLmTfAbloDN7Hn7Q3UmYr1YtUI9PRFsh4/edit?usp=drivesdk" TargetMode="External"/><Relationship Id="rId1235" Type="http://schemas.openxmlformats.org/officeDocument/2006/relationships/hyperlink" Target="https://docs.google.com/document/d/12X693985ojOZOWGWxQG5tJawFs8iRUGlQ-sYihpkOxk/edit?usp=drivesdk" TargetMode="External"/><Relationship Id="rId1236" Type="http://schemas.openxmlformats.org/officeDocument/2006/relationships/hyperlink" Target="https://docs.google.com/document/d/12X693985ojOZOWGWxQG5tJawFs8iRUGlQ-sYihpkOxk/edit?usp=drivesdk" TargetMode="External"/><Relationship Id="rId1237" Type="http://schemas.openxmlformats.org/officeDocument/2006/relationships/hyperlink" Target="https://docs.google.com/document/d/1mGyWP779XsEeZEug2fwUU9PlTvWb_CAmnsEvfNp5Jis/edit?usp=drivesdk" TargetMode="External"/><Relationship Id="rId1238" Type="http://schemas.openxmlformats.org/officeDocument/2006/relationships/hyperlink" Target="https://docs.google.com/document/d/1mGyWP779XsEeZEug2fwUU9PlTvWb_CAmnsEvfNp5Jis/edit?usp=drivesdk" TargetMode="External"/><Relationship Id="rId1239" Type="http://schemas.openxmlformats.org/officeDocument/2006/relationships/hyperlink" Target="https://docs.google.com/document/d/1mGyWP779XsEeZEug2fwUU9PlTvWb_CAmnsEvfNp5Jis/edit?usp=drivesdk" TargetMode="External"/><Relationship Id="rId409" Type="http://schemas.openxmlformats.org/officeDocument/2006/relationships/hyperlink" Target="https://docs.google.com/document/d/1P1WkN22kVsXgNUcQrqZyrpwWWVqmBG7xdQ7UQTAeauE/edit?usp=drivesdk" TargetMode="External"/><Relationship Id="rId404" Type="http://schemas.openxmlformats.org/officeDocument/2006/relationships/hyperlink" Target="https://docs.google.com/document/d/1JgCa2zOxFe-9kDox5LuQDUjC9gnzUMq1AN3EUNSAnP4/edit?usp=drivesdk" TargetMode="External"/><Relationship Id="rId646" Type="http://schemas.openxmlformats.org/officeDocument/2006/relationships/hyperlink" Target="https://docs.google.com/document/d/1xSyUEh7DX1vwyOcZt8m3LLk971U5muxAbYzbKSNmrxY/edit?usp=drivesdk" TargetMode="External"/><Relationship Id="rId888" Type="http://schemas.openxmlformats.org/officeDocument/2006/relationships/hyperlink" Target="https://docs.google.com/document/d/18xofVuv1OB15BduGZgUmNc_4mOVJwb85g5r4bk8mOfM/edit?usp=drivesdk" TargetMode="External"/><Relationship Id="rId403" Type="http://schemas.openxmlformats.org/officeDocument/2006/relationships/hyperlink" Target="https://docs.google.com/document/d/1JgCa2zOxFe-9kDox5LuQDUjC9gnzUMq1AN3EUNSAnP4/edit?usp=drivesdk" TargetMode="External"/><Relationship Id="rId645" Type="http://schemas.openxmlformats.org/officeDocument/2006/relationships/hyperlink" Target="https://docs.google.com/document/d/1xSyUEh7DX1vwyOcZt8m3LLk971U5muxAbYzbKSNmrxY/edit?usp=drivesdk" TargetMode="External"/><Relationship Id="rId887" Type="http://schemas.openxmlformats.org/officeDocument/2006/relationships/hyperlink" Target="https://docs.google.com/document/d/18xofVuv1OB15BduGZgUmNc_4mOVJwb85g5r4bk8mOfM/edit?usp=drivesdk" TargetMode="External"/><Relationship Id="rId402" Type="http://schemas.openxmlformats.org/officeDocument/2006/relationships/hyperlink" Target="https://docs.google.com/document/d/1JgCa2zOxFe-9kDox5LuQDUjC9gnzUMq1AN3EUNSAnP4/edit?usp=drivesdk" TargetMode="External"/><Relationship Id="rId644" Type="http://schemas.openxmlformats.org/officeDocument/2006/relationships/hyperlink" Target="https://docs.google.com/document/d/1xSyUEh7DX1vwyOcZt8m3LLk971U5muxAbYzbKSNmrxY/edit?usp=drivesdk" TargetMode="External"/><Relationship Id="rId886" Type="http://schemas.openxmlformats.org/officeDocument/2006/relationships/hyperlink" Target="https://docs.google.com/document/d/18xofVuv1OB15BduGZgUmNc_4mOVJwb85g5r4bk8mOfM/edit?usp=drivesdk" TargetMode="External"/><Relationship Id="rId401" Type="http://schemas.openxmlformats.org/officeDocument/2006/relationships/hyperlink" Target="https://docs.google.com/document/d/1JgCa2zOxFe-9kDox5LuQDUjC9gnzUMq1AN3EUNSAnP4/edit?usp=drivesdk" TargetMode="External"/><Relationship Id="rId643" Type="http://schemas.openxmlformats.org/officeDocument/2006/relationships/hyperlink" Target="https://docs.google.com/document/d/1xSyUEh7DX1vwyOcZt8m3LLk971U5muxAbYzbKSNmrxY/edit?usp=drivesdk" TargetMode="External"/><Relationship Id="rId885" Type="http://schemas.openxmlformats.org/officeDocument/2006/relationships/hyperlink" Target="https://docs.google.com/document/d/18xofVuv1OB15BduGZgUmNc_4mOVJwb85g5r4bk8mOfM/edit?usp=drivesdk" TargetMode="External"/><Relationship Id="rId408" Type="http://schemas.openxmlformats.org/officeDocument/2006/relationships/hyperlink" Target="https://docs.google.com/document/d/1P1WkN22kVsXgNUcQrqZyrpwWWVqmBG7xdQ7UQTAeauE/edit?usp=drivesdk" TargetMode="External"/><Relationship Id="rId407" Type="http://schemas.openxmlformats.org/officeDocument/2006/relationships/hyperlink" Target="https://docs.google.com/document/d/1JgCa2zOxFe-9kDox5LuQDUjC9gnzUMq1AN3EUNSAnP4/edit?usp=drivesdk" TargetMode="External"/><Relationship Id="rId649" Type="http://schemas.openxmlformats.org/officeDocument/2006/relationships/hyperlink" Target="https://docs.google.com/document/d/1geZQGFyKmFLcqF7JX3ptcqZTQm_qptmhJjbNdPnlOYI/edit?usp=drivesdk" TargetMode="External"/><Relationship Id="rId406" Type="http://schemas.openxmlformats.org/officeDocument/2006/relationships/hyperlink" Target="https://docs.google.com/document/d/1JgCa2zOxFe-9kDox5LuQDUjC9gnzUMq1AN3EUNSAnP4/edit?usp=drivesdk" TargetMode="External"/><Relationship Id="rId648" Type="http://schemas.openxmlformats.org/officeDocument/2006/relationships/hyperlink" Target="https://docs.google.com/document/d/1geZQGFyKmFLcqF7JX3ptcqZTQm_qptmhJjbNdPnlOYI/edit?usp=drivesdk" TargetMode="External"/><Relationship Id="rId405" Type="http://schemas.openxmlformats.org/officeDocument/2006/relationships/hyperlink" Target="https://docs.google.com/document/d/1JgCa2zOxFe-9kDox5LuQDUjC9gnzUMq1AN3EUNSAnP4/edit?usp=drivesdk" TargetMode="External"/><Relationship Id="rId647" Type="http://schemas.openxmlformats.org/officeDocument/2006/relationships/hyperlink" Target="https://docs.google.com/document/d/1xSyUEh7DX1vwyOcZt8m3LLk971U5muxAbYzbKSNmrxY/edit?usp=drivesdk" TargetMode="External"/><Relationship Id="rId889" Type="http://schemas.openxmlformats.org/officeDocument/2006/relationships/hyperlink" Target="https://docs.google.com/document/d/18UPqzRbv-w0wr4nIJwTx8w2tkM6Uh8nQ1xHlE_ijfC8/edit?usp=drivesdk" TargetMode="External"/><Relationship Id="rId880" Type="http://schemas.openxmlformats.org/officeDocument/2006/relationships/hyperlink" Target="https://docs.google.com/document/d/18xofVuv1OB15BduGZgUmNc_4mOVJwb85g5r4bk8mOfM/edit?usp=drivesdk" TargetMode="External"/><Relationship Id="rId1230" Type="http://schemas.openxmlformats.org/officeDocument/2006/relationships/hyperlink" Target="https://docs.google.com/document/d/12X693985ojOZOWGWxQG5tJawFs8iRUGlQ-sYihpkOxk/edit?usp=drivesdk" TargetMode="External"/><Relationship Id="rId400" Type="http://schemas.openxmlformats.org/officeDocument/2006/relationships/hyperlink" Target="https://docs.google.com/document/d/1JgCa2zOxFe-9kDox5LuQDUjC9gnzUMq1AN3EUNSAnP4/edit?usp=drivesdk" TargetMode="External"/><Relationship Id="rId642" Type="http://schemas.openxmlformats.org/officeDocument/2006/relationships/hyperlink" Target="https://docs.google.com/document/d/1xSyUEh7DX1vwyOcZt8m3LLk971U5muxAbYzbKSNmrxY/edit?usp=drivesdk" TargetMode="External"/><Relationship Id="rId884" Type="http://schemas.openxmlformats.org/officeDocument/2006/relationships/hyperlink" Target="https://docs.google.com/document/d/18xofVuv1OB15BduGZgUmNc_4mOVJwb85g5r4bk8mOfM/edit?usp=drivesdk" TargetMode="External"/><Relationship Id="rId1231" Type="http://schemas.openxmlformats.org/officeDocument/2006/relationships/hyperlink" Target="https://docs.google.com/document/d/12X693985ojOZOWGWxQG5tJawFs8iRUGlQ-sYihpkOxk/edit?usp=drivesdk" TargetMode="External"/><Relationship Id="rId641" Type="http://schemas.openxmlformats.org/officeDocument/2006/relationships/hyperlink" Target="https://docs.google.com/document/d/1xSyUEh7DX1vwyOcZt8m3LLk971U5muxAbYzbKSNmrxY/edit?usp=drivesdk" TargetMode="External"/><Relationship Id="rId883" Type="http://schemas.openxmlformats.org/officeDocument/2006/relationships/hyperlink" Target="https://docs.google.com/document/d/18xofVuv1OB15BduGZgUmNc_4mOVJwb85g5r4bk8mOfM/edit?usp=drivesdk" TargetMode="External"/><Relationship Id="rId1232" Type="http://schemas.openxmlformats.org/officeDocument/2006/relationships/hyperlink" Target="https://docs.google.com/document/d/12X693985ojOZOWGWxQG5tJawFs8iRUGlQ-sYihpkOxk/edit?usp=drivesdk" TargetMode="External"/><Relationship Id="rId640" Type="http://schemas.openxmlformats.org/officeDocument/2006/relationships/hyperlink" Target="https://docs.google.com/document/d/1xSyUEh7DX1vwyOcZt8m3LLk971U5muxAbYzbKSNmrxY/edit?usp=drivesdk" TargetMode="External"/><Relationship Id="rId882" Type="http://schemas.openxmlformats.org/officeDocument/2006/relationships/hyperlink" Target="https://docs.google.com/document/d/18xofVuv1OB15BduGZgUmNc_4mOVJwb85g5r4bk8mOfM/edit?usp=drivesdk" TargetMode="External"/><Relationship Id="rId1233" Type="http://schemas.openxmlformats.org/officeDocument/2006/relationships/hyperlink" Target="https://docs.google.com/document/d/12X693985ojOZOWGWxQG5tJawFs8iRUGlQ-sYihpkOxk/edit?usp=drivesdk" TargetMode="External"/><Relationship Id="rId881" Type="http://schemas.openxmlformats.org/officeDocument/2006/relationships/hyperlink" Target="https://docs.google.com/document/d/18xofVuv1OB15BduGZgUmNc_4mOVJwb85g5r4bk8mOfM/edit?usp=drivesdk" TargetMode="External"/><Relationship Id="rId1234" Type="http://schemas.openxmlformats.org/officeDocument/2006/relationships/hyperlink" Target="https://docs.google.com/document/d/12X693985ojOZOWGWxQG5tJawFs8iRUGlQ-sYihpkOxk/edit?usp=drivesdk" TargetMode="External"/><Relationship Id="rId1224" Type="http://schemas.openxmlformats.org/officeDocument/2006/relationships/hyperlink" Target="https://docs.google.com/document/d/12X693985ojOZOWGWxQG5tJawFs8iRUGlQ-sYihpkOxk/edit?usp=drivesdk" TargetMode="External"/><Relationship Id="rId1225" Type="http://schemas.openxmlformats.org/officeDocument/2006/relationships/hyperlink" Target="https://docs.google.com/document/d/12X693985ojOZOWGWxQG5tJawFs8iRUGlQ-sYihpkOxk/edit?usp=drivesdk" TargetMode="External"/><Relationship Id="rId1226" Type="http://schemas.openxmlformats.org/officeDocument/2006/relationships/hyperlink" Target="https://docs.google.com/document/d/12X693985ojOZOWGWxQG5tJawFs8iRUGlQ-sYihpkOxk/edit?usp=drivesdk" TargetMode="External"/><Relationship Id="rId1227" Type="http://schemas.openxmlformats.org/officeDocument/2006/relationships/hyperlink" Target="https://docs.google.com/document/d/12X693985ojOZOWGWxQG5tJawFs8iRUGlQ-sYihpkOxk/edit?usp=drivesdk" TargetMode="External"/><Relationship Id="rId1228" Type="http://schemas.openxmlformats.org/officeDocument/2006/relationships/hyperlink" Target="https://docs.google.com/document/d/12X693985ojOZOWGWxQG5tJawFs8iRUGlQ-sYihpkOxk/edit?usp=drivesdk" TargetMode="External"/><Relationship Id="rId1229" Type="http://schemas.openxmlformats.org/officeDocument/2006/relationships/hyperlink" Target="https://docs.google.com/document/d/12X693985ojOZOWGWxQG5tJawFs8iRUGlQ-sYihpkOxk/edit?usp=drivesdk" TargetMode="External"/><Relationship Id="rId635" Type="http://schemas.openxmlformats.org/officeDocument/2006/relationships/hyperlink" Target="https://docs.google.com/document/d/16oUPZz_G0MIQwF7_2S4-f3J5bPxWqYaBQevjX1b0XsA/edit?usp=drivesdk" TargetMode="External"/><Relationship Id="rId877" Type="http://schemas.openxmlformats.org/officeDocument/2006/relationships/hyperlink" Target="https://docs.google.com/document/d/1e91KCl0WjrvBj46PW2v2YPEfeIyIAngh24nRTgZqaVU/edit?usp=drivesdk" TargetMode="External"/><Relationship Id="rId634" Type="http://schemas.openxmlformats.org/officeDocument/2006/relationships/hyperlink" Target="https://docs.google.com/document/d/16oUPZz_G0MIQwF7_2S4-f3J5bPxWqYaBQevjX1b0XsA/edit?usp=drivesdk" TargetMode="External"/><Relationship Id="rId876" Type="http://schemas.openxmlformats.org/officeDocument/2006/relationships/hyperlink" Target="https://docs.google.com/document/d/1e91KCl0WjrvBj46PW2v2YPEfeIyIAngh24nRTgZqaVU/edit?usp=drivesdk" TargetMode="External"/><Relationship Id="rId633" Type="http://schemas.openxmlformats.org/officeDocument/2006/relationships/hyperlink" Target="https://docs.google.com/document/d/16oUPZz_G0MIQwF7_2S4-f3J5bPxWqYaBQevjX1b0XsA/edit?usp=drivesdk" TargetMode="External"/><Relationship Id="rId875" Type="http://schemas.openxmlformats.org/officeDocument/2006/relationships/hyperlink" Target="https://docs.google.com/document/d/1e91KCl0WjrvBj46PW2v2YPEfeIyIAngh24nRTgZqaVU/edit?usp=drivesdk" TargetMode="External"/><Relationship Id="rId632" Type="http://schemas.openxmlformats.org/officeDocument/2006/relationships/hyperlink" Target="https://docs.google.com/document/d/16oUPZz_G0MIQwF7_2S4-f3J5bPxWqYaBQevjX1b0XsA/edit?usp=drivesdk" TargetMode="External"/><Relationship Id="rId874" Type="http://schemas.openxmlformats.org/officeDocument/2006/relationships/hyperlink" Target="https://docs.google.com/document/d/1e91KCl0WjrvBj46PW2v2YPEfeIyIAngh24nRTgZqaVU/edit?usp=drivesdk" TargetMode="External"/><Relationship Id="rId639" Type="http://schemas.openxmlformats.org/officeDocument/2006/relationships/hyperlink" Target="https://docs.google.com/document/d/1xSyUEh7DX1vwyOcZt8m3LLk971U5muxAbYzbKSNmrxY/edit?usp=drivesdk" TargetMode="External"/><Relationship Id="rId638" Type="http://schemas.openxmlformats.org/officeDocument/2006/relationships/hyperlink" Target="https://docs.google.com/document/d/16oUPZz_G0MIQwF7_2S4-f3J5bPxWqYaBQevjX1b0XsA/edit?usp=drivesdk" TargetMode="External"/><Relationship Id="rId637" Type="http://schemas.openxmlformats.org/officeDocument/2006/relationships/hyperlink" Target="https://docs.google.com/document/d/16oUPZz_G0MIQwF7_2S4-f3J5bPxWqYaBQevjX1b0XsA/edit?usp=drivesdk" TargetMode="External"/><Relationship Id="rId879" Type="http://schemas.openxmlformats.org/officeDocument/2006/relationships/hyperlink" Target="https://docs.google.com/document/d/18xofVuv1OB15BduGZgUmNc_4mOVJwb85g5r4bk8mOfM/edit?usp=drivesdk" TargetMode="External"/><Relationship Id="rId636" Type="http://schemas.openxmlformats.org/officeDocument/2006/relationships/hyperlink" Target="https://docs.google.com/document/d/16oUPZz_G0MIQwF7_2S4-f3J5bPxWqYaBQevjX1b0XsA/edit?usp=drivesdk" TargetMode="External"/><Relationship Id="rId878" Type="http://schemas.openxmlformats.org/officeDocument/2006/relationships/hyperlink" Target="https://docs.google.com/document/d/1e91KCl0WjrvBj46PW2v2YPEfeIyIAngh24nRTgZqaVU/edit?usp=drivesdk" TargetMode="External"/><Relationship Id="rId631" Type="http://schemas.openxmlformats.org/officeDocument/2006/relationships/hyperlink" Target="https://docs.google.com/document/d/16oUPZz_G0MIQwF7_2S4-f3J5bPxWqYaBQevjX1b0XsA/edit?usp=drivesdk" TargetMode="External"/><Relationship Id="rId873" Type="http://schemas.openxmlformats.org/officeDocument/2006/relationships/hyperlink" Target="https://docs.google.com/document/d/1e91KCl0WjrvBj46PW2v2YPEfeIyIAngh24nRTgZqaVU/edit?usp=drivesdk" TargetMode="External"/><Relationship Id="rId1220" Type="http://schemas.openxmlformats.org/officeDocument/2006/relationships/hyperlink" Target="https://docs.google.com/document/d/1ZhaEyqqygVTMahiL7BjigzV4UeT0J9joWZkWVhyKzvQ/edit?usp=drivesdk" TargetMode="External"/><Relationship Id="rId630" Type="http://schemas.openxmlformats.org/officeDocument/2006/relationships/hyperlink" Target="https://docs.google.com/document/d/16oUPZz_G0MIQwF7_2S4-f3J5bPxWqYaBQevjX1b0XsA/edit?usp=drivesdk" TargetMode="External"/><Relationship Id="rId872" Type="http://schemas.openxmlformats.org/officeDocument/2006/relationships/hyperlink" Target="https://docs.google.com/document/d/1e91KCl0WjrvBj46PW2v2YPEfeIyIAngh24nRTgZqaVU/edit?usp=drivesdk" TargetMode="External"/><Relationship Id="rId1221" Type="http://schemas.openxmlformats.org/officeDocument/2006/relationships/hyperlink" Target="https://docs.google.com/document/d/1ZhaEyqqygVTMahiL7BjigzV4UeT0J9joWZkWVhyKzvQ/edit?usp=drivesdk" TargetMode="External"/><Relationship Id="rId871" Type="http://schemas.openxmlformats.org/officeDocument/2006/relationships/hyperlink" Target="https://docs.google.com/document/d/1e91KCl0WjrvBj46PW2v2YPEfeIyIAngh24nRTgZqaVU/edit?usp=drivesdk" TargetMode="External"/><Relationship Id="rId1222" Type="http://schemas.openxmlformats.org/officeDocument/2006/relationships/hyperlink" Target="https://docs.google.com/document/d/12X693985ojOZOWGWxQG5tJawFs8iRUGlQ-sYihpkOxk/edit?usp=drivesdk" TargetMode="External"/><Relationship Id="rId870" Type="http://schemas.openxmlformats.org/officeDocument/2006/relationships/hyperlink" Target="https://docs.google.com/document/d/1e91KCl0WjrvBj46PW2v2YPEfeIyIAngh24nRTgZqaVU/edit?usp=drivesdk" TargetMode="External"/><Relationship Id="rId1223" Type="http://schemas.openxmlformats.org/officeDocument/2006/relationships/hyperlink" Target="https://docs.google.com/document/d/12X693985ojOZOWGWxQG5tJawFs8iRUGlQ-sYihpkOxk/edit?usp=drivesdk" TargetMode="External"/><Relationship Id="rId829" Type="http://schemas.openxmlformats.org/officeDocument/2006/relationships/hyperlink" Target="https://docs.google.com/document/d/1bajfgo1hP28nyO5DqKCZDIbdfNf9f0mnJtSRRaHcDzg/edit?usp=drivesdk" TargetMode="External"/><Relationship Id="rId828" Type="http://schemas.openxmlformats.org/officeDocument/2006/relationships/hyperlink" Target="https://docs.google.com/document/d/1jB-W66IpPnyVBEvYck9wzOI1_N54bVqf2RzUVh5NadI/edit?usp=drivesdk" TargetMode="External"/><Relationship Id="rId827" Type="http://schemas.openxmlformats.org/officeDocument/2006/relationships/hyperlink" Target="https://docs.google.com/document/d/1jB-W66IpPnyVBEvYck9wzOI1_N54bVqf2RzUVh5NadI/edit?usp=drivesdk" TargetMode="External"/><Relationship Id="rId822" Type="http://schemas.openxmlformats.org/officeDocument/2006/relationships/hyperlink" Target="https://docs.google.com/document/d/1jB-W66IpPnyVBEvYck9wzOI1_N54bVqf2RzUVh5NadI/edit?usp=drivesdk" TargetMode="External"/><Relationship Id="rId821" Type="http://schemas.openxmlformats.org/officeDocument/2006/relationships/hyperlink" Target="https://docs.google.com/document/d/1jB-W66IpPnyVBEvYck9wzOI1_N54bVqf2RzUVh5NadI/edit?usp=drivesdk" TargetMode="External"/><Relationship Id="rId820" Type="http://schemas.openxmlformats.org/officeDocument/2006/relationships/hyperlink" Target="https://docs.google.com/document/d/1jB-W66IpPnyVBEvYck9wzOI1_N54bVqf2RzUVh5NadI/edit?usp=drivesdk" TargetMode="External"/><Relationship Id="rId826" Type="http://schemas.openxmlformats.org/officeDocument/2006/relationships/hyperlink" Target="https://docs.google.com/document/d/1jB-W66IpPnyVBEvYck9wzOI1_N54bVqf2RzUVh5NadI/edit?usp=drivesdk" TargetMode="External"/><Relationship Id="rId825" Type="http://schemas.openxmlformats.org/officeDocument/2006/relationships/hyperlink" Target="https://docs.google.com/document/d/1jB-W66IpPnyVBEvYck9wzOI1_N54bVqf2RzUVh5NadI/edit?usp=drivesdk" TargetMode="External"/><Relationship Id="rId824" Type="http://schemas.openxmlformats.org/officeDocument/2006/relationships/hyperlink" Target="https://docs.google.com/document/d/1jB-W66IpPnyVBEvYck9wzOI1_N54bVqf2RzUVh5NadI/edit?usp=drivesdk" TargetMode="External"/><Relationship Id="rId823" Type="http://schemas.openxmlformats.org/officeDocument/2006/relationships/hyperlink" Target="https://docs.google.com/document/d/1jB-W66IpPnyVBEvYck9wzOI1_N54bVqf2RzUVh5NadI/edit?usp=drivesdk" TargetMode="External"/><Relationship Id="rId819" Type="http://schemas.openxmlformats.org/officeDocument/2006/relationships/hyperlink" Target="https://docs.google.com/document/d/1jB-W66IpPnyVBEvYck9wzOI1_N54bVqf2RzUVh5NadI/edit?usp=drivesdk" TargetMode="External"/><Relationship Id="rId818" Type="http://schemas.openxmlformats.org/officeDocument/2006/relationships/hyperlink" Target="https://docs.google.com/document/d/1jB-W66IpPnyVBEvYck9wzOI1_N54bVqf2RzUVh5NadI/edit?usp=drivesdk" TargetMode="External"/><Relationship Id="rId817" Type="http://schemas.openxmlformats.org/officeDocument/2006/relationships/hyperlink" Target="https://docs.google.com/document/d/1jB-W66IpPnyVBEvYck9wzOI1_N54bVqf2RzUVh5NadI/edit?usp=drivesdk" TargetMode="External"/><Relationship Id="rId816" Type="http://schemas.openxmlformats.org/officeDocument/2006/relationships/hyperlink" Target="https://docs.google.com/document/d/1k4CYJMrD9N0FBrjcMguNIfhrlA1fiGg2s3YFAjfqSGQ/edit?usp=drivesdk" TargetMode="External"/><Relationship Id="rId811" Type="http://schemas.openxmlformats.org/officeDocument/2006/relationships/hyperlink" Target="https://docs.google.com/document/d/1k4CYJMrD9N0FBrjcMguNIfhrlA1fiGg2s3YFAjfqSGQ/edit?usp=drivesdk" TargetMode="External"/><Relationship Id="rId810" Type="http://schemas.openxmlformats.org/officeDocument/2006/relationships/hyperlink" Target="https://docs.google.com/document/d/1k4CYJMrD9N0FBrjcMguNIfhrlA1fiGg2s3YFAjfqSGQ/edit?usp=drivesdk" TargetMode="External"/><Relationship Id="rId815" Type="http://schemas.openxmlformats.org/officeDocument/2006/relationships/hyperlink" Target="https://docs.google.com/document/d/1k4CYJMrD9N0FBrjcMguNIfhrlA1fiGg2s3YFAjfqSGQ/edit?usp=drivesdk" TargetMode="External"/><Relationship Id="rId814" Type="http://schemas.openxmlformats.org/officeDocument/2006/relationships/hyperlink" Target="https://docs.google.com/document/d/1k4CYJMrD9N0FBrjcMguNIfhrlA1fiGg2s3YFAjfqSGQ/edit?usp=drivesdk" TargetMode="External"/><Relationship Id="rId813" Type="http://schemas.openxmlformats.org/officeDocument/2006/relationships/hyperlink" Target="https://docs.google.com/document/d/1k4CYJMrD9N0FBrjcMguNIfhrlA1fiGg2s3YFAjfqSGQ/edit?usp=drivesdk" TargetMode="External"/><Relationship Id="rId812" Type="http://schemas.openxmlformats.org/officeDocument/2006/relationships/hyperlink" Target="https://docs.google.com/document/d/1k4CYJMrD9N0FBrjcMguNIfhrlA1fiGg2s3YFAjfqSGQ/edit?usp=drivesdk" TargetMode="External"/><Relationship Id="rId609" Type="http://schemas.openxmlformats.org/officeDocument/2006/relationships/hyperlink" Target="https://docs.google.com/document/d/13tcvuMnybwokgAACkGDDMvLvwoSP5UWKfM60mf0OT4o/edit?usp=drivesdk" TargetMode="External"/><Relationship Id="rId608" Type="http://schemas.openxmlformats.org/officeDocument/2006/relationships/hyperlink" Target="https://docs.google.com/document/d/13tcvuMnybwokgAACkGDDMvLvwoSP5UWKfM60mf0OT4o/edit?usp=drivesdk" TargetMode="External"/><Relationship Id="rId607" Type="http://schemas.openxmlformats.org/officeDocument/2006/relationships/hyperlink" Target="https://docs.google.com/document/d/13tcvuMnybwokgAACkGDDMvLvwoSP5UWKfM60mf0OT4o/edit?usp=drivesdk" TargetMode="External"/><Relationship Id="rId849" Type="http://schemas.openxmlformats.org/officeDocument/2006/relationships/hyperlink" Target="https://docs.google.com/document/d/1yCxzPKqlRVSPrOc7W3UPLWXT9Qhrm4FaV3UN_HJt8q8/edit?usp=drivesdk" TargetMode="External"/><Relationship Id="rId602" Type="http://schemas.openxmlformats.org/officeDocument/2006/relationships/hyperlink" Target="https://docs.google.com/document/d/13tcvuMnybwokgAACkGDDMvLvwoSP5UWKfM60mf0OT4o/edit?usp=drivesdk" TargetMode="External"/><Relationship Id="rId844" Type="http://schemas.openxmlformats.org/officeDocument/2006/relationships/hyperlink" Target="https://docs.google.com/document/d/1yCxzPKqlRVSPrOc7W3UPLWXT9Qhrm4FaV3UN_HJt8q8/edit?usp=drivesdk" TargetMode="External"/><Relationship Id="rId601" Type="http://schemas.openxmlformats.org/officeDocument/2006/relationships/hyperlink" Target="https://docs.google.com/document/d/15H5PW-Prpx3dHq5pzCA-X5-e2XDcAa-Fla3euW5D6cM/edit?usp=drivesdk" TargetMode="External"/><Relationship Id="rId843" Type="http://schemas.openxmlformats.org/officeDocument/2006/relationships/hyperlink" Target="https://docs.google.com/document/d/1yCxzPKqlRVSPrOc7W3UPLWXT9Qhrm4FaV3UN_HJt8q8/edit?usp=drivesdk" TargetMode="External"/><Relationship Id="rId600" Type="http://schemas.openxmlformats.org/officeDocument/2006/relationships/hyperlink" Target="https://docs.google.com/document/d/15H5PW-Prpx3dHq5pzCA-X5-e2XDcAa-Fla3euW5D6cM/edit?usp=drivesdk" TargetMode="External"/><Relationship Id="rId842" Type="http://schemas.openxmlformats.org/officeDocument/2006/relationships/hyperlink" Target="https://docs.google.com/document/d/1bajfgo1hP28nyO5DqKCZDIbdfNf9f0mnJtSRRaHcDzg/edit?usp=drivesdk" TargetMode="External"/><Relationship Id="rId841" Type="http://schemas.openxmlformats.org/officeDocument/2006/relationships/hyperlink" Target="https://docs.google.com/document/d/1bajfgo1hP28nyO5DqKCZDIbdfNf9f0mnJtSRRaHcDzg/edit?usp=drivesdk" TargetMode="External"/><Relationship Id="rId606" Type="http://schemas.openxmlformats.org/officeDocument/2006/relationships/hyperlink" Target="https://docs.google.com/document/d/13tcvuMnybwokgAACkGDDMvLvwoSP5UWKfM60mf0OT4o/edit?usp=drivesdk" TargetMode="External"/><Relationship Id="rId848" Type="http://schemas.openxmlformats.org/officeDocument/2006/relationships/hyperlink" Target="https://docs.google.com/document/d/1yCxzPKqlRVSPrOc7W3UPLWXT9Qhrm4FaV3UN_HJt8q8/edit?usp=drivesdk" TargetMode="External"/><Relationship Id="rId605" Type="http://schemas.openxmlformats.org/officeDocument/2006/relationships/hyperlink" Target="https://docs.google.com/document/d/13tcvuMnybwokgAACkGDDMvLvwoSP5UWKfM60mf0OT4o/edit?usp=drivesdk" TargetMode="External"/><Relationship Id="rId847" Type="http://schemas.openxmlformats.org/officeDocument/2006/relationships/hyperlink" Target="https://docs.google.com/document/d/1yCxzPKqlRVSPrOc7W3UPLWXT9Qhrm4FaV3UN_HJt8q8/edit?usp=drivesdk" TargetMode="External"/><Relationship Id="rId604" Type="http://schemas.openxmlformats.org/officeDocument/2006/relationships/hyperlink" Target="https://docs.google.com/document/d/13tcvuMnybwokgAACkGDDMvLvwoSP5UWKfM60mf0OT4o/edit?usp=drivesdk" TargetMode="External"/><Relationship Id="rId846" Type="http://schemas.openxmlformats.org/officeDocument/2006/relationships/hyperlink" Target="https://docs.google.com/document/d/1yCxzPKqlRVSPrOc7W3UPLWXT9Qhrm4FaV3UN_HJt8q8/edit?usp=drivesdk" TargetMode="External"/><Relationship Id="rId603" Type="http://schemas.openxmlformats.org/officeDocument/2006/relationships/hyperlink" Target="https://docs.google.com/document/d/13tcvuMnybwokgAACkGDDMvLvwoSP5UWKfM60mf0OT4o/edit?usp=drivesdk" TargetMode="External"/><Relationship Id="rId845" Type="http://schemas.openxmlformats.org/officeDocument/2006/relationships/hyperlink" Target="https://docs.google.com/document/d/1yCxzPKqlRVSPrOc7W3UPLWXT9Qhrm4FaV3UN_HJt8q8/edit?usp=drivesdk" TargetMode="External"/><Relationship Id="rId840" Type="http://schemas.openxmlformats.org/officeDocument/2006/relationships/hyperlink" Target="https://docs.google.com/document/d/1bajfgo1hP28nyO5DqKCZDIbdfNf9f0mnJtSRRaHcDzg/edit?usp=drivesdk" TargetMode="External"/><Relationship Id="rId839" Type="http://schemas.openxmlformats.org/officeDocument/2006/relationships/hyperlink" Target="https://docs.google.com/document/d/1bajfgo1hP28nyO5DqKCZDIbdfNf9f0mnJtSRRaHcDzg/edit?usp=drivesdk" TargetMode="External"/><Relationship Id="rId838" Type="http://schemas.openxmlformats.org/officeDocument/2006/relationships/hyperlink" Target="https://docs.google.com/document/d/1bajfgo1hP28nyO5DqKCZDIbdfNf9f0mnJtSRRaHcDzg/edit?usp=drivesdk" TargetMode="External"/><Relationship Id="rId833" Type="http://schemas.openxmlformats.org/officeDocument/2006/relationships/hyperlink" Target="https://docs.google.com/document/d/1bajfgo1hP28nyO5DqKCZDIbdfNf9f0mnJtSRRaHcDzg/edit?usp=drivesdk" TargetMode="External"/><Relationship Id="rId832" Type="http://schemas.openxmlformats.org/officeDocument/2006/relationships/hyperlink" Target="https://docs.google.com/document/d/1bajfgo1hP28nyO5DqKCZDIbdfNf9f0mnJtSRRaHcDzg/edit?usp=drivesdk" TargetMode="External"/><Relationship Id="rId831" Type="http://schemas.openxmlformats.org/officeDocument/2006/relationships/hyperlink" Target="https://docs.google.com/document/d/1bajfgo1hP28nyO5DqKCZDIbdfNf9f0mnJtSRRaHcDzg/edit?usp=drivesdk" TargetMode="External"/><Relationship Id="rId830" Type="http://schemas.openxmlformats.org/officeDocument/2006/relationships/hyperlink" Target="https://docs.google.com/document/d/1bajfgo1hP28nyO5DqKCZDIbdfNf9f0mnJtSRRaHcDzg/edit?usp=drivesdk" TargetMode="External"/><Relationship Id="rId837" Type="http://schemas.openxmlformats.org/officeDocument/2006/relationships/hyperlink" Target="https://docs.google.com/document/d/1bajfgo1hP28nyO5DqKCZDIbdfNf9f0mnJtSRRaHcDzg/edit?usp=drivesdk" TargetMode="External"/><Relationship Id="rId836" Type="http://schemas.openxmlformats.org/officeDocument/2006/relationships/hyperlink" Target="https://docs.google.com/document/d/1bajfgo1hP28nyO5DqKCZDIbdfNf9f0mnJtSRRaHcDzg/edit?usp=drivesdk" TargetMode="External"/><Relationship Id="rId835" Type="http://schemas.openxmlformats.org/officeDocument/2006/relationships/hyperlink" Target="https://docs.google.com/document/d/1bajfgo1hP28nyO5DqKCZDIbdfNf9f0mnJtSRRaHcDzg/edit?usp=drivesdk" TargetMode="External"/><Relationship Id="rId834" Type="http://schemas.openxmlformats.org/officeDocument/2006/relationships/hyperlink" Target="https://docs.google.com/document/d/1bajfgo1hP28nyO5DqKCZDIbdfNf9f0mnJtSRRaHcDzg/edit?usp=drivesdk" TargetMode="External"/><Relationship Id="rId1059" Type="http://schemas.openxmlformats.org/officeDocument/2006/relationships/hyperlink" Target="https://docs.google.com/document/d/1u8-BvJt93icBEaLz6RZNGIwEdC-M0bUw-bfIroyXlgI/edit?usp=drivesdk" TargetMode="External"/><Relationship Id="rId228" Type="http://schemas.openxmlformats.org/officeDocument/2006/relationships/hyperlink" Target="https://docs.google.com/document/d/1lm8V-ZylpI-85aQu9UKyddFaCAhJkismt0LKJCkBHVI/edit?usp=drivesdk" TargetMode="External"/><Relationship Id="rId227" Type="http://schemas.openxmlformats.org/officeDocument/2006/relationships/hyperlink" Target="https://docs.google.com/document/d/1lm8V-ZylpI-85aQu9UKyddFaCAhJkismt0LKJCkBHVI/edit?usp=drivesdk" TargetMode="External"/><Relationship Id="rId469" Type="http://schemas.openxmlformats.org/officeDocument/2006/relationships/hyperlink" Target="https://docs.google.com/document/d/1E-ji5TlYxwjEood80dVFCCpH-wKYX7tC_3Yv_bTORIk/edit?usp=drivesdk" TargetMode="External"/><Relationship Id="rId226" Type="http://schemas.openxmlformats.org/officeDocument/2006/relationships/hyperlink" Target="https://docs.google.com/document/d/1lm8V-ZylpI-85aQu9UKyddFaCAhJkismt0LKJCkBHVI/edit?usp=drivesdk" TargetMode="External"/><Relationship Id="rId468" Type="http://schemas.openxmlformats.org/officeDocument/2006/relationships/hyperlink" Target="https://docs.google.com/document/d/1E-ji5TlYxwjEood80dVFCCpH-wKYX7tC_3Yv_bTORIk/edit?usp=drivesdk" TargetMode="External"/><Relationship Id="rId225" Type="http://schemas.openxmlformats.org/officeDocument/2006/relationships/hyperlink" Target="https://docs.google.com/document/d/1lm8V-ZylpI-85aQu9UKyddFaCAhJkismt0LKJCkBHVI/edit?usp=drivesdk" TargetMode="External"/><Relationship Id="rId467" Type="http://schemas.openxmlformats.org/officeDocument/2006/relationships/hyperlink" Target="https://docs.google.com/document/d/1E-ji5TlYxwjEood80dVFCCpH-wKYX7tC_3Yv_bTORIk/edit?usp=drivesdk" TargetMode="External"/><Relationship Id="rId1290" Type="http://schemas.openxmlformats.org/officeDocument/2006/relationships/hyperlink" Target="https://docs.google.com/document/d/1EgWZa2pl8jYTppsotA6e-nLWMBvlLR3z9r39_CYq2WA/edit?usp=drivesdk" TargetMode="External"/><Relationship Id="rId1291" Type="http://schemas.openxmlformats.org/officeDocument/2006/relationships/hyperlink" Target="https://docs.google.com/document/d/1EgWZa2pl8jYTppsotA6e-nLWMBvlLR3z9r39_CYq2WA/edit?usp=drivesdk" TargetMode="External"/><Relationship Id="rId229" Type="http://schemas.openxmlformats.org/officeDocument/2006/relationships/hyperlink" Target="https://docs.google.com/document/d/1lm8V-ZylpI-85aQu9UKyddFaCAhJkismt0LKJCkBHVI/edit?usp=drivesdk" TargetMode="External"/><Relationship Id="rId1050" Type="http://schemas.openxmlformats.org/officeDocument/2006/relationships/hyperlink" Target="https://docs.google.com/document/d/1ERYJXb2TO-URuN2ORQ0bC7_SjCfiZ2FtgVRuyPEwxtw/edit?usp=drivesdk" TargetMode="External"/><Relationship Id="rId1292" Type="http://schemas.openxmlformats.org/officeDocument/2006/relationships/hyperlink" Target="https://docs.google.com/document/d/1EgWZa2pl8jYTppsotA6e-nLWMBvlLR3z9r39_CYq2WA/edit?usp=drivesdk" TargetMode="External"/><Relationship Id="rId220" Type="http://schemas.openxmlformats.org/officeDocument/2006/relationships/hyperlink" Target="https://docs.google.com/document/d/1PXc924RFTgH7VRQl4xkKX84S17MCTAjQeZOGTDfbYjo/edit?usp=drivesdk" TargetMode="External"/><Relationship Id="rId462" Type="http://schemas.openxmlformats.org/officeDocument/2006/relationships/hyperlink" Target="https://docs.google.com/document/d/1xU9X-l3yz22PpsAhWIPdYNXPnbfBk-Ca_bfiyL0SpeM/edit?usp=drivesdk" TargetMode="External"/><Relationship Id="rId1051" Type="http://schemas.openxmlformats.org/officeDocument/2006/relationships/hyperlink" Target="https://docs.google.com/document/d/1ERYJXb2TO-URuN2ORQ0bC7_SjCfiZ2FtgVRuyPEwxtw/edit?usp=drivesdk" TargetMode="External"/><Relationship Id="rId1293" Type="http://schemas.openxmlformats.org/officeDocument/2006/relationships/hyperlink" Target="https://docs.google.com/document/d/1EgWZa2pl8jYTppsotA6e-nLWMBvlLR3z9r39_CYq2WA/edit?usp=drivesdk" TargetMode="External"/><Relationship Id="rId461" Type="http://schemas.openxmlformats.org/officeDocument/2006/relationships/hyperlink" Target="https://docs.google.com/document/d/1xU9X-l3yz22PpsAhWIPdYNXPnbfBk-Ca_bfiyL0SpeM/edit?usp=drivesdk" TargetMode="External"/><Relationship Id="rId1052" Type="http://schemas.openxmlformats.org/officeDocument/2006/relationships/hyperlink" Target="https://docs.google.com/document/d/1ERYJXb2TO-URuN2ORQ0bC7_SjCfiZ2FtgVRuyPEwxtw/edit?usp=drivesdk" TargetMode="External"/><Relationship Id="rId1294" Type="http://schemas.openxmlformats.org/officeDocument/2006/relationships/hyperlink" Target="https://docs.google.com/document/d/1EgWZa2pl8jYTppsotA6e-nLWMBvlLR3z9r39_CYq2WA/edit?usp=drivesdk" TargetMode="External"/><Relationship Id="rId460" Type="http://schemas.openxmlformats.org/officeDocument/2006/relationships/hyperlink" Target="https://docs.google.com/document/d/1xU9X-l3yz22PpsAhWIPdYNXPnbfBk-Ca_bfiyL0SpeM/edit?usp=drivesdk" TargetMode="External"/><Relationship Id="rId1053" Type="http://schemas.openxmlformats.org/officeDocument/2006/relationships/hyperlink" Target="https://docs.google.com/document/d/1ERYJXb2TO-URuN2ORQ0bC7_SjCfiZ2FtgVRuyPEwxtw/edit?usp=drivesdk" TargetMode="External"/><Relationship Id="rId1295" Type="http://schemas.openxmlformats.org/officeDocument/2006/relationships/hyperlink" Target="https://docs.google.com/document/d/1EgWZa2pl8jYTppsotA6e-nLWMBvlLR3z9r39_CYq2WA/edit?usp=drivesdk" TargetMode="External"/><Relationship Id="rId1054" Type="http://schemas.openxmlformats.org/officeDocument/2006/relationships/hyperlink" Target="https://docs.google.com/document/d/1ERYJXb2TO-URuN2ORQ0bC7_SjCfiZ2FtgVRuyPEwxtw/edit?usp=drivesdk" TargetMode="External"/><Relationship Id="rId1296" Type="http://schemas.openxmlformats.org/officeDocument/2006/relationships/hyperlink" Target="https://docs.google.com/document/d/1EgWZa2pl8jYTppsotA6e-nLWMBvlLR3z9r39_CYq2WA/edit?usp=drivesdk" TargetMode="External"/><Relationship Id="rId224" Type="http://schemas.openxmlformats.org/officeDocument/2006/relationships/hyperlink" Target="https://docs.google.com/document/d/1lm8V-ZylpI-85aQu9UKyddFaCAhJkismt0LKJCkBHVI/edit?usp=drivesdk" TargetMode="External"/><Relationship Id="rId466" Type="http://schemas.openxmlformats.org/officeDocument/2006/relationships/hyperlink" Target="https://docs.google.com/document/d/1E-ji5TlYxwjEood80dVFCCpH-wKYX7tC_3Yv_bTORIk/edit?usp=drivesdk" TargetMode="External"/><Relationship Id="rId1055" Type="http://schemas.openxmlformats.org/officeDocument/2006/relationships/hyperlink" Target="https://docs.google.com/document/d/1u8-BvJt93icBEaLz6RZNGIwEdC-M0bUw-bfIroyXlgI/edit?usp=drivesdk" TargetMode="External"/><Relationship Id="rId1297" Type="http://schemas.openxmlformats.org/officeDocument/2006/relationships/hyperlink" Target="https://docs.google.com/document/d/1EgWZa2pl8jYTppsotA6e-nLWMBvlLR3z9r39_CYq2WA/edit?usp=drivesdk" TargetMode="External"/><Relationship Id="rId223" Type="http://schemas.openxmlformats.org/officeDocument/2006/relationships/hyperlink" Target="https://docs.google.com/document/d/1lm8V-ZylpI-85aQu9UKyddFaCAhJkismt0LKJCkBHVI/edit?usp=drivesdk" TargetMode="External"/><Relationship Id="rId465" Type="http://schemas.openxmlformats.org/officeDocument/2006/relationships/hyperlink" Target="https://docs.google.com/document/d/1E-ji5TlYxwjEood80dVFCCpH-wKYX7tC_3Yv_bTORIk/edit?usp=drivesdk" TargetMode="External"/><Relationship Id="rId1056" Type="http://schemas.openxmlformats.org/officeDocument/2006/relationships/hyperlink" Target="https://docs.google.com/document/d/1u8-BvJt93icBEaLz6RZNGIwEdC-M0bUw-bfIroyXlgI/edit?usp=drivesdk" TargetMode="External"/><Relationship Id="rId1298" Type="http://schemas.openxmlformats.org/officeDocument/2006/relationships/hyperlink" Target="https://docs.google.com/document/d/1sGcpbdfW3sM2aKGzUP8l53x0eUBh7kARrsi5h08Y2RU/edit?usp=drivesdk" TargetMode="External"/><Relationship Id="rId222" Type="http://schemas.openxmlformats.org/officeDocument/2006/relationships/hyperlink" Target="https://docs.google.com/document/d/1lm8V-ZylpI-85aQu9UKyddFaCAhJkismt0LKJCkBHVI/edit?usp=drivesdk" TargetMode="External"/><Relationship Id="rId464" Type="http://schemas.openxmlformats.org/officeDocument/2006/relationships/hyperlink" Target="https://docs.google.com/document/d/1E-ji5TlYxwjEood80dVFCCpH-wKYX7tC_3Yv_bTORIk/edit?usp=drivesdk" TargetMode="External"/><Relationship Id="rId1057" Type="http://schemas.openxmlformats.org/officeDocument/2006/relationships/hyperlink" Target="https://docs.google.com/document/d/1u8-BvJt93icBEaLz6RZNGIwEdC-M0bUw-bfIroyXlgI/edit?usp=drivesdk" TargetMode="External"/><Relationship Id="rId1299" Type="http://schemas.openxmlformats.org/officeDocument/2006/relationships/hyperlink" Target="https://docs.google.com/document/d/1sGcpbdfW3sM2aKGzUP8l53x0eUBh7kARrsi5h08Y2RU/edit?usp=drivesdk" TargetMode="External"/><Relationship Id="rId221" Type="http://schemas.openxmlformats.org/officeDocument/2006/relationships/hyperlink" Target="https://docs.google.com/document/d/1PXc924RFTgH7VRQl4xkKX84S17MCTAjQeZOGTDfbYjo/edit?usp=drivesdk" TargetMode="External"/><Relationship Id="rId463" Type="http://schemas.openxmlformats.org/officeDocument/2006/relationships/hyperlink" Target="https://docs.google.com/document/d/1xU9X-l3yz22PpsAhWIPdYNXPnbfBk-Ca_bfiyL0SpeM/edit?usp=drivesdk" TargetMode="External"/><Relationship Id="rId1058" Type="http://schemas.openxmlformats.org/officeDocument/2006/relationships/hyperlink" Target="https://docs.google.com/document/d/1u8-BvJt93icBEaLz6RZNGIwEdC-M0bUw-bfIroyXlgI/edit?usp=drivesdk" TargetMode="External"/><Relationship Id="rId1048" Type="http://schemas.openxmlformats.org/officeDocument/2006/relationships/hyperlink" Target="https://docs.google.com/document/d/1ERYJXb2TO-URuN2ORQ0bC7_SjCfiZ2FtgVRuyPEwxtw/edit?usp=drivesdk" TargetMode="External"/><Relationship Id="rId1049" Type="http://schemas.openxmlformats.org/officeDocument/2006/relationships/hyperlink" Target="https://docs.google.com/document/d/1ERYJXb2TO-URuN2ORQ0bC7_SjCfiZ2FtgVRuyPEwxtw/edit?usp=drivesdk" TargetMode="External"/><Relationship Id="rId217" Type="http://schemas.openxmlformats.org/officeDocument/2006/relationships/hyperlink" Target="https://docs.google.com/document/d/1PXc924RFTgH7VRQl4xkKX84S17MCTAjQeZOGTDfbYjo/edit?usp=drivesdk" TargetMode="External"/><Relationship Id="rId459" Type="http://schemas.openxmlformats.org/officeDocument/2006/relationships/hyperlink" Target="https://docs.google.com/document/d/1xU9X-l3yz22PpsAhWIPdYNXPnbfBk-Ca_bfiyL0SpeM/edit?usp=drivesdk" TargetMode="External"/><Relationship Id="rId216" Type="http://schemas.openxmlformats.org/officeDocument/2006/relationships/hyperlink" Target="https://docs.google.com/document/d/1PXc924RFTgH7VRQl4xkKX84S17MCTAjQeZOGTDfbYjo/edit?usp=drivesdk" TargetMode="External"/><Relationship Id="rId458" Type="http://schemas.openxmlformats.org/officeDocument/2006/relationships/hyperlink" Target="https://docs.google.com/document/d/1xU9X-l3yz22PpsAhWIPdYNXPnbfBk-Ca_bfiyL0SpeM/edit?usp=drivesdk" TargetMode="External"/><Relationship Id="rId215" Type="http://schemas.openxmlformats.org/officeDocument/2006/relationships/hyperlink" Target="https://docs.google.com/document/d/1PXc924RFTgH7VRQl4xkKX84S17MCTAjQeZOGTDfbYjo/edit?usp=drivesdk" TargetMode="External"/><Relationship Id="rId457" Type="http://schemas.openxmlformats.org/officeDocument/2006/relationships/hyperlink" Target="https://docs.google.com/document/d/1xU9X-l3yz22PpsAhWIPdYNXPnbfBk-Ca_bfiyL0SpeM/edit?usp=drivesdk" TargetMode="External"/><Relationship Id="rId699" Type="http://schemas.openxmlformats.org/officeDocument/2006/relationships/hyperlink" Target="https://docs.google.com/document/d/16IINwPNDRO3jFBR3GvJu4aS-gtI3uxmPUHM9o6IS9n8/edit?usp=drivesdk" TargetMode="External"/><Relationship Id="rId214" Type="http://schemas.openxmlformats.org/officeDocument/2006/relationships/hyperlink" Target="https://docs.google.com/document/d/1PXc924RFTgH7VRQl4xkKX84S17MCTAjQeZOGTDfbYjo/edit?usp=drivesdk" TargetMode="External"/><Relationship Id="rId456" Type="http://schemas.openxmlformats.org/officeDocument/2006/relationships/hyperlink" Target="https://docs.google.com/document/d/1xU9X-l3yz22PpsAhWIPdYNXPnbfBk-Ca_bfiyL0SpeM/edit?usp=drivesdk" TargetMode="External"/><Relationship Id="rId698" Type="http://schemas.openxmlformats.org/officeDocument/2006/relationships/hyperlink" Target="https://docs.google.com/document/d/16IINwPNDRO3jFBR3GvJu4aS-gtI3uxmPUHM9o6IS9n8/edit?usp=drivesdk" TargetMode="External"/><Relationship Id="rId219" Type="http://schemas.openxmlformats.org/officeDocument/2006/relationships/hyperlink" Target="https://docs.google.com/document/d/1PXc924RFTgH7VRQl4xkKX84S17MCTAjQeZOGTDfbYjo/edit?usp=drivesdk" TargetMode="External"/><Relationship Id="rId1280" Type="http://schemas.openxmlformats.org/officeDocument/2006/relationships/hyperlink" Target="https://docs.google.com/document/d/1q-Cd8C_UBlO8k5keUY55dfBMkDpDxE0q_3eqGNUK9ww/edit?usp=drivesdk" TargetMode="External"/><Relationship Id="rId218" Type="http://schemas.openxmlformats.org/officeDocument/2006/relationships/hyperlink" Target="https://docs.google.com/document/d/1PXc924RFTgH7VRQl4xkKX84S17MCTAjQeZOGTDfbYjo/edit?usp=drivesdk" TargetMode="External"/><Relationship Id="rId1281" Type="http://schemas.openxmlformats.org/officeDocument/2006/relationships/hyperlink" Target="https://docs.google.com/document/d/1q-Cd8C_UBlO8k5keUY55dfBMkDpDxE0q_3eqGNUK9ww/edit?usp=drivesdk" TargetMode="External"/><Relationship Id="rId451" Type="http://schemas.openxmlformats.org/officeDocument/2006/relationships/hyperlink" Target="https://docs.google.com/document/d/1IExdGJGIfJtO1t0OKexX77_PmmT1ef7_SOBUHsbOxI0/edit?usp=drivesdk" TargetMode="External"/><Relationship Id="rId693" Type="http://schemas.openxmlformats.org/officeDocument/2006/relationships/hyperlink" Target="https://docs.google.com/document/d/16IINwPNDRO3jFBR3GvJu4aS-gtI3uxmPUHM9o6IS9n8/edit?usp=drivesdk" TargetMode="External"/><Relationship Id="rId1040" Type="http://schemas.openxmlformats.org/officeDocument/2006/relationships/hyperlink" Target="https://docs.google.com/document/d/1CvcKR8SUlf8wwRSW8sWmzjQVjrFnLjRV5eDFVwbB-BI/edit?usp=drivesdk" TargetMode="External"/><Relationship Id="rId1282" Type="http://schemas.openxmlformats.org/officeDocument/2006/relationships/hyperlink" Target="https://docs.google.com/document/d/1q-Cd8C_UBlO8k5keUY55dfBMkDpDxE0q_3eqGNUK9ww/edit?usp=drivesdk" TargetMode="External"/><Relationship Id="rId450" Type="http://schemas.openxmlformats.org/officeDocument/2006/relationships/hyperlink" Target="https://docs.google.com/document/d/1IExdGJGIfJtO1t0OKexX77_PmmT1ef7_SOBUHsbOxI0/edit?usp=drivesdk" TargetMode="External"/><Relationship Id="rId692" Type="http://schemas.openxmlformats.org/officeDocument/2006/relationships/hyperlink" Target="https://docs.google.com/document/d/16IINwPNDRO3jFBR3GvJu4aS-gtI3uxmPUHM9o6IS9n8/edit?usp=drivesdk" TargetMode="External"/><Relationship Id="rId1041" Type="http://schemas.openxmlformats.org/officeDocument/2006/relationships/hyperlink" Target="https://docs.google.com/document/d/1ERYJXb2TO-URuN2ORQ0bC7_SjCfiZ2FtgVRuyPEwxtw/edit?usp=drivesdk" TargetMode="External"/><Relationship Id="rId1283" Type="http://schemas.openxmlformats.org/officeDocument/2006/relationships/hyperlink" Target="https://docs.google.com/document/d/1q-Cd8C_UBlO8k5keUY55dfBMkDpDxE0q_3eqGNUK9ww/edit?usp=drivesdk" TargetMode="External"/><Relationship Id="rId691" Type="http://schemas.openxmlformats.org/officeDocument/2006/relationships/hyperlink" Target="https://docs.google.com/document/d/16IINwPNDRO3jFBR3GvJu4aS-gtI3uxmPUHM9o6IS9n8/edit?usp=drivesdk" TargetMode="External"/><Relationship Id="rId1042" Type="http://schemas.openxmlformats.org/officeDocument/2006/relationships/hyperlink" Target="https://docs.google.com/document/d/1ERYJXb2TO-URuN2ORQ0bC7_SjCfiZ2FtgVRuyPEwxtw/edit?usp=drivesdk" TargetMode="External"/><Relationship Id="rId1284" Type="http://schemas.openxmlformats.org/officeDocument/2006/relationships/hyperlink" Target="https://docs.google.com/document/d/1EgWZa2pl8jYTppsotA6e-nLWMBvlLR3z9r39_CYq2WA/edit?usp=drivesdk" TargetMode="External"/><Relationship Id="rId690" Type="http://schemas.openxmlformats.org/officeDocument/2006/relationships/hyperlink" Target="https://docs.google.com/document/d/16IINwPNDRO3jFBR3GvJu4aS-gtI3uxmPUHM9o6IS9n8/edit?usp=drivesdk" TargetMode="External"/><Relationship Id="rId1043" Type="http://schemas.openxmlformats.org/officeDocument/2006/relationships/hyperlink" Target="https://docs.google.com/document/d/1ERYJXb2TO-URuN2ORQ0bC7_SjCfiZ2FtgVRuyPEwxtw/edit?usp=drivesdk" TargetMode="External"/><Relationship Id="rId1285" Type="http://schemas.openxmlformats.org/officeDocument/2006/relationships/hyperlink" Target="https://docs.google.com/document/d/1EgWZa2pl8jYTppsotA6e-nLWMBvlLR3z9r39_CYq2WA/edit?usp=drivesdk" TargetMode="External"/><Relationship Id="rId213" Type="http://schemas.openxmlformats.org/officeDocument/2006/relationships/hyperlink" Target="https://docs.google.com/document/d/1PXc924RFTgH7VRQl4xkKX84S17MCTAjQeZOGTDfbYjo/edit?usp=drivesdk" TargetMode="External"/><Relationship Id="rId455" Type="http://schemas.openxmlformats.org/officeDocument/2006/relationships/hyperlink" Target="https://docs.google.com/document/d/1xU9X-l3yz22PpsAhWIPdYNXPnbfBk-Ca_bfiyL0SpeM/edit?usp=drivesdk" TargetMode="External"/><Relationship Id="rId697" Type="http://schemas.openxmlformats.org/officeDocument/2006/relationships/hyperlink" Target="https://docs.google.com/document/d/16IINwPNDRO3jFBR3GvJu4aS-gtI3uxmPUHM9o6IS9n8/edit?usp=drivesdk" TargetMode="External"/><Relationship Id="rId1044" Type="http://schemas.openxmlformats.org/officeDocument/2006/relationships/hyperlink" Target="https://docs.google.com/document/d/1ERYJXb2TO-URuN2ORQ0bC7_SjCfiZ2FtgVRuyPEwxtw/edit?usp=drivesdk" TargetMode="External"/><Relationship Id="rId1286" Type="http://schemas.openxmlformats.org/officeDocument/2006/relationships/hyperlink" Target="https://docs.google.com/document/d/1EgWZa2pl8jYTppsotA6e-nLWMBvlLR3z9r39_CYq2WA/edit?usp=drivesdk" TargetMode="External"/><Relationship Id="rId212" Type="http://schemas.openxmlformats.org/officeDocument/2006/relationships/hyperlink" Target="https://docs.google.com/document/d/1PXc924RFTgH7VRQl4xkKX84S17MCTAjQeZOGTDfbYjo/edit?usp=drivesdk" TargetMode="External"/><Relationship Id="rId454" Type="http://schemas.openxmlformats.org/officeDocument/2006/relationships/hyperlink" Target="https://docs.google.com/document/d/1IExdGJGIfJtO1t0OKexX77_PmmT1ef7_SOBUHsbOxI0/edit?usp=drivesdk" TargetMode="External"/><Relationship Id="rId696" Type="http://schemas.openxmlformats.org/officeDocument/2006/relationships/hyperlink" Target="https://docs.google.com/document/d/16IINwPNDRO3jFBR3GvJu4aS-gtI3uxmPUHM9o6IS9n8/edit?usp=drivesdk" TargetMode="External"/><Relationship Id="rId1045" Type="http://schemas.openxmlformats.org/officeDocument/2006/relationships/hyperlink" Target="https://docs.google.com/document/d/1ERYJXb2TO-URuN2ORQ0bC7_SjCfiZ2FtgVRuyPEwxtw/edit?usp=drivesdk" TargetMode="External"/><Relationship Id="rId1287" Type="http://schemas.openxmlformats.org/officeDocument/2006/relationships/hyperlink" Target="https://docs.google.com/document/d/1EgWZa2pl8jYTppsotA6e-nLWMBvlLR3z9r39_CYq2WA/edit?usp=drivesdk" TargetMode="External"/><Relationship Id="rId211" Type="http://schemas.openxmlformats.org/officeDocument/2006/relationships/hyperlink" Target="https://docs.google.com/document/d/1PXc924RFTgH7VRQl4xkKX84S17MCTAjQeZOGTDfbYjo/edit?usp=drivesdk" TargetMode="External"/><Relationship Id="rId453" Type="http://schemas.openxmlformats.org/officeDocument/2006/relationships/hyperlink" Target="https://docs.google.com/document/d/1IExdGJGIfJtO1t0OKexX77_PmmT1ef7_SOBUHsbOxI0/edit?usp=drivesdk" TargetMode="External"/><Relationship Id="rId695" Type="http://schemas.openxmlformats.org/officeDocument/2006/relationships/hyperlink" Target="https://docs.google.com/document/d/16IINwPNDRO3jFBR3GvJu4aS-gtI3uxmPUHM9o6IS9n8/edit?usp=drivesdk" TargetMode="External"/><Relationship Id="rId1046" Type="http://schemas.openxmlformats.org/officeDocument/2006/relationships/hyperlink" Target="https://docs.google.com/document/d/1ERYJXb2TO-URuN2ORQ0bC7_SjCfiZ2FtgVRuyPEwxtw/edit?usp=drivesdk" TargetMode="External"/><Relationship Id="rId1288" Type="http://schemas.openxmlformats.org/officeDocument/2006/relationships/hyperlink" Target="https://docs.google.com/document/d/1EgWZa2pl8jYTppsotA6e-nLWMBvlLR3z9r39_CYq2WA/edit?usp=drivesdk" TargetMode="External"/><Relationship Id="rId210" Type="http://schemas.openxmlformats.org/officeDocument/2006/relationships/hyperlink" Target="https://docs.google.com/document/d/1PXc924RFTgH7VRQl4xkKX84S17MCTAjQeZOGTDfbYjo/edit?usp=drivesdk" TargetMode="External"/><Relationship Id="rId452" Type="http://schemas.openxmlformats.org/officeDocument/2006/relationships/hyperlink" Target="https://docs.google.com/document/d/1IExdGJGIfJtO1t0OKexX77_PmmT1ef7_SOBUHsbOxI0/edit?usp=drivesdk" TargetMode="External"/><Relationship Id="rId694" Type="http://schemas.openxmlformats.org/officeDocument/2006/relationships/hyperlink" Target="https://docs.google.com/document/d/16IINwPNDRO3jFBR3GvJu4aS-gtI3uxmPUHM9o6IS9n8/edit?usp=drivesdk" TargetMode="External"/><Relationship Id="rId1047" Type="http://schemas.openxmlformats.org/officeDocument/2006/relationships/hyperlink" Target="https://docs.google.com/document/d/1ERYJXb2TO-URuN2ORQ0bC7_SjCfiZ2FtgVRuyPEwxtw/edit?usp=drivesdk" TargetMode="External"/><Relationship Id="rId1289" Type="http://schemas.openxmlformats.org/officeDocument/2006/relationships/hyperlink" Target="https://docs.google.com/document/d/1EgWZa2pl8jYTppsotA6e-nLWMBvlLR3z9r39_CYq2WA/edit?usp=drivesdk" TargetMode="External"/><Relationship Id="rId491" Type="http://schemas.openxmlformats.org/officeDocument/2006/relationships/hyperlink" Target="https://docs.google.com/document/d/1yBQ06bu5IiQVJ0TcbjkGp5E-KzQyoG8utbnocRt4tn0/edit?usp=drivesdk" TargetMode="External"/><Relationship Id="rId490" Type="http://schemas.openxmlformats.org/officeDocument/2006/relationships/hyperlink" Target="https://docs.google.com/document/d/1yBQ06bu5IiQVJ0TcbjkGp5E-KzQyoG8utbnocRt4tn0/edit?usp=drivesdk" TargetMode="External"/><Relationship Id="rId249" Type="http://schemas.openxmlformats.org/officeDocument/2006/relationships/hyperlink" Target="https://docs.google.com/document/d/1j8N2mjEes42WQQAmHYNc-kJUgT-vSbrILiAI62vxcXE/edit?usp=drivesdk" TargetMode="External"/><Relationship Id="rId248" Type="http://schemas.openxmlformats.org/officeDocument/2006/relationships/hyperlink" Target="https://docs.google.com/document/d/1j8N2mjEes42WQQAmHYNc-kJUgT-vSbrILiAI62vxcXE/edit?usp=drivesdk" TargetMode="External"/><Relationship Id="rId247" Type="http://schemas.openxmlformats.org/officeDocument/2006/relationships/hyperlink" Target="https://docs.google.com/document/d/1j8N2mjEes42WQQAmHYNc-kJUgT-vSbrILiAI62vxcXE/edit?usp=drivesdk" TargetMode="External"/><Relationship Id="rId489" Type="http://schemas.openxmlformats.org/officeDocument/2006/relationships/hyperlink" Target="https://docs.google.com/document/d/1yBQ06bu5IiQVJ0TcbjkGp5E-KzQyoG8utbnocRt4tn0/edit?usp=drivesdk" TargetMode="External"/><Relationship Id="rId1070" Type="http://schemas.openxmlformats.org/officeDocument/2006/relationships/hyperlink" Target="https://docs.google.com/document/d/1DEz2XJE7NgnXc8mk3AmeHy7rkkMi_YfdssNQqjdXLEI/edit?usp=drivesdk" TargetMode="External"/><Relationship Id="rId1071" Type="http://schemas.openxmlformats.org/officeDocument/2006/relationships/hyperlink" Target="https://docs.google.com/document/d/1DEz2XJE7NgnXc8mk3AmeHy7rkkMi_YfdssNQqjdXLEI/edit?usp=drivesdk" TargetMode="External"/><Relationship Id="rId1072" Type="http://schemas.openxmlformats.org/officeDocument/2006/relationships/hyperlink" Target="https://docs.google.com/document/d/1DEz2XJE7NgnXc8mk3AmeHy7rkkMi_YfdssNQqjdXLEI/edit?usp=drivesdk" TargetMode="External"/><Relationship Id="rId242" Type="http://schemas.openxmlformats.org/officeDocument/2006/relationships/hyperlink" Target="https://docs.google.com/document/d/1xajdrfDwH0hMMjvlt9tbbSvAGZ_BlowTDlOlti1wahE/edit?usp=drivesdk" TargetMode="External"/><Relationship Id="rId484" Type="http://schemas.openxmlformats.org/officeDocument/2006/relationships/hyperlink" Target="https://docs.google.com/document/d/1BcQYjIQ4_3yQilgnsaNpHeXrE3pRVpNBocUliQfOjP0/edit?usp=drivesdk" TargetMode="External"/><Relationship Id="rId1073" Type="http://schemas.openxmlformats.org/officeDocument/2006/relationships/hyperlink" Target="https://docs.google.com/document/d/1DEz2XJE7NgnXc8mk3AmeHy7rkkMi_YfdssNQqjdXLEI/edit?usp=drivesdk" TargetMode="External"/><Relationship Id="rId241" Type="http://schemas.openxmlformats.org/officeDocument/2006/relationships/hyperlink" Target="https://docs.google.com/document/d/1xajdrfDwH0hMMjvlt9tbbSvAGZ_BlowTDlOlti1wahE/edit?usp=drivesdk" TargetMode="External"/><Relationship Id="rId483" Type="http://schemas.openxmlformats.org/officeDocument/2006/relationships/hyperlink" Target="https://docs.google.com/document/d/1BcQYjIQ4_3yQilgnsaNpHeXrE3pRVpNBocUliQfOjP0/edit?usp=drivesdk" TargetMode="External"/><Relationship Id="rId1074" Type="http://schemas.openxmlformats.org/officeDocument/2006/relationships/hyperlink" Target="https://docs.google.com/document/d/1DEz2XJE7NgnXc8mk3AmeHy7rkkMi_YfdssNQqjdXLEI/edit?usp=drivesdk" TargetMode="External"/><Relationship Id="rId240" Type="http://schemas.openxmlformats.org/officeDocument/2006/relationships/hyperlink" Target="https://docs.google.com/document/d/1xajdrfDwH0hMMjvlt9tbbSvAGZ_BlowTDlOlti1wahE/edit?usp=drivesdk" TargetMode="External"/><Relationship Id="rId482" Type="http://schemas.openxmlformats.org/officeDocument/2006/relationships/hyperlink" Target="https://docs.google.com/document/d/1BcQYjIQ4_3yQilgnsaNpHeXrE3pRVpNBocUliQfOjP0/edit?usp=drivesdk" TargetMode="External"/><Relationship Id="rId1075" Type="http://schemas.openxmlformats.org/officeDocument/2006/relationships/hyperlink" Target="https://docs.google.com/document/d/1L9R--CWPe4BgHyowBoq-FNP2EQ-ZxuGhStCuj_fXoyk/edit?usp=drivesdk" TargetMode="External"/><Relationship Id="rId481" Type="http://schemas.openxmlformats.org/officeDocument/2006/relationships/hyperlink" Target="https://docs.google.com/document/d/1BcQYjIQ4_3yQilgnsaNpHeXrE3pRVpNBocUliQfOjP0/edit?usp=drivesdk" TargetMode="External"/><Relationship Id="rId1076" Type="http://schemas.openxmlformats.org/officeDocument/2006/relationships/hyperlink" Target="https://docs.google.com/document/d/1L9R--CWPe4BgHyowBoq-FNP2EQ-ZxuGhStCuj_fXoyk/edit?usp=drivesdk" TargetMode="External"/><Relationship Id="rId246" Type="http://schemas.openxmlformats.org/officeDocument/2006/relationships/hyperlink" Target="https://docs.google.com/document/d/1j8N2mjEes42WQQAmHYNc-kJUgT-vSbrILiAI62vxcXE/edit?usp=drivesdk" TargetMode="External"/><Relationship Id="rId488" Type="http://schemas.openxmlformats.org/officeDocument/2006/relationships/hyperlink" Target="https://docs.google.com/document/d/1yBQ06bu5IiQVJ0TcbjkGp5E-KzQyoG8utbnocRt4tn0/edit?usp=drivesdk" TargetMode="External"/><Relationship Id="rId1077" Type="http://schemas.openxmlformats.org/officeDocument/2006/relationships/hyperlink" Target="https://docs.google.com/document/d/1L9R--CWPe4BgHyowBoq-FNP2EQ-ZxuGhStCuj_fXoyk/edit?usp=drivesdk" TargetMode="External"/><Relationship Id="rId245" Type="http://schemas.openxmlformats.org/officeDocument/2006/relationships/hyperlink" Target="https://docs.google.com/document/d/1j8N2mjEes42WQQAmHYNc-kJUgT-vSbrILiAI62vxcXE/edit?usp=drivesdk" TargetMode="External"/><Relationship Id="rId487" Type="http://schemas.openxmlformats.org/officeDocument/2006/relationships/hyperlink" Target="https://docs.google.com/document/d/1yBQ06bu5IiQVJ0TcbjkGp5E-KzQyoG8utbnocRt4tn0/edit?usp=drivesdk" TargetMode="External"/><Relationship Id="rId1078" Type="http://schemas.openxmlformats.org/officeDocument/2006/relationships/hyperlink" Target="https://docs.google.com/document/d/1L9R--CWPe4BgHyowBoq-FNP2EQ-ZxuGhStCuj_fXoyk/edit?usp=drivesdk" TargetMode="External"/><Relationship Id="rId244" Type="http://schemas.openxmlformats.org/officeDocument/2006/relationships/hyperlink" Target="https://docs.google.com/document/d/1xajdrfDwH0hMMjvlt9tbbSvAGZ_BlowTDlOlti1wahE/edit?usp=drivesdk" TargetMode="External"/><Relationship Id="rId486" Type="http://schemas.openxmlformats.org/officeDocument/2006/relationships/hyperlink" Target="https://docs.google.com/document/d/1yBQ06bu5IiQVJ0TcbjkGp5E-KzQyoG8utbnocRt4tn0/edit?usp=drivesdk" TargetMode="External"/><Relationship Id="rId1079" Type="http://schemas.openxmlformats.org/officeDocument/2006/relationships/hyperlink" Target="https://docs.google.com/document/d/1L9R--CWPe4BgHyowBoq-FNP2EQ-ZxuGhStCuj_fXoyk/edit?usp=drivesdk" TargetMode="External"/><Relationship Id="rId243" Type="http://schemas.openxmlformats.org/officeDocument/2006/relationships/hyperlink" Target="https://docs.google.com/document/d/1xajdrfDwH0hMMjvlt9tbbSvAGZ_BlowTDlOlti1wahE/edit?usp=drivesdk" TargetMode="External"/><Relationship Id="rId485" Type="http://schemas.openxmlformats.org/officeDocument/2006/relationships/hyperlink" Target="https://docs.google.com/document/d/1yBQ06bu5IiQVJ0TcbjkGp5E-KzQyoG8utbnocRt4tn0/edit?usp=drivesdk" TargetMode="External"/><Relationship Id="rId480" Type="http://schemas.openxmlformats.org/officeDocument/2006/relationships/hyperlink" Target="https://docs.google.com/document/d/1BcQYjIQ4_3yQilgnsaNpHeXrE3pRVpNBocUliQfOjP0/edit?usp=drivesdk" TargetMode="External"/><Relationship Id="rId239" Type="http://schemas.openxmlformats.org/officeDocument/2006/relationships/hyperlink" Target="https://docs.google.com/document/d/1xajdrfDwH0hMMjvlt9tbbSvAGZ_BlowTDlOlti1wahE/edit?usp=drivesdk" TargetMode="External"/><Relationship Id="rId238" Type="http://schemas.openxmlformats.org/officeDocument/2006/relationships/hyperlink" Target="https://docs.google.com/document/d/1xajdrfDwH0hMMjvlt9tbbSvAGZ_BlowTDlOlti1wahE/edit?usp=drivesdk" TargetMode="External"/><Relationship Id="rId237" Type="http://schemas.openxmlformats.org/officeDocument/2006/relationships/hyperlink" Target="https://docs.google.com/document/d/1xajdrfDwH0hMMjvlt9tbbSvAGZ_BlowTDlOlti1wahE/edit?usp=drivesdk" TargetMode="External"/><Relationship Id="rId479" Type="http://schemas.openxmlformats.org/officeDocument/2006/relationships/hyperlink" Target="https://docs.google.com/document/d/1BcQYjIQ4_3yQilgnsaNpHeXrE3pRVpNBocUliQfOjP0/edit?usp=drivesdk" TargetMode="External"/><Relationship Id="rId236" Type="http://schemas.openxmlformats.org/officeDocument/2006/relationships/hyperlink" Target="https://docs.google.com/document/d/1xajdrfDwH0hMMjvlt9tbbSvAGZ_BlowTDlOlti1wahE/edit?usp=drivesdk" TargetMode="External"/><Relationship Id="rId478" Type="http://schemas.openxmlformats.org/officeDocument/2006/relationships/hyperlink" Target="https://docs.google.com/document/d/1BcQYjIQ4_3yQilgnsaNpHeXrE3pRVpNBocUliQfOjP0/edit?usp=drivesdk" TargetMode="External"/><Relationship Id="rId1060" Type="http://schemas.openxmlformats.org/officeDocument/2006/relationships/hyperlink" Target="https://docs.google.com/document/d/1u8-BvJt93icBEaLz6RZNGIwEdC-M0bUw-bfIroyXlgI/edit?usp=drivesdk" TargetMode="External"/><Relationship Id="rId1061" Type="http://schemas.openxmlformats.org/officeDocument/2006/relationships/hyperlink" Target="https://docs.google.com/document/d/1u8-BvJt93icBEaLz6RZNGIwEdC-M0bUw-bfIroyXlgI/edit?usp=drivesdk" TargetMode="External"/><Relationship Id="rId231" Type="http://schemas.openxmlformats.org/officeDocument/2006/relationships/hyperlink" Target="https://docs.google.com/document/d/1lm8V-ZylpI-85aQu9UKyddFaCAhJkismt0LKJCkBHVI/edit?usp=drivesdk" TargetMode="External"/><Relationship Id="rId473" Type="http://schemas.openxmlformats.org/officeDocument/2006/relationships/hyperlink" Target="https://docs.google.com/document/d/1BcQYjIQ4_3yQilgnsaNpHeXrE3pRVpNBocUliQfOjP0/edit?usp=drivesdk" TargetMode="External"/><Relationship Id="rId1062" Type="http://schemas.openxmlformats.org/officeDocument/2006/relationships/hyperlink" Target="https://docs.google.com/document/d/1u8-BvJt93icBEaLz6RZNGIwEdC-M0bUw-bfIroyXlgI/edit?usp=drivesdk" TargetMode="External"/><Relationship Id="rId230" Type="http://schemas.openxmlformats.org/officeDocument/2006/relationships/hyperlink" Target="https://docs.google.com/document/d/1lm8V-ZylpI-85aQu9UKyddFaCAhJkismt0LKJCkBHVI/edit?usp=drivesdk" TargetMode="External"/><Relationship Id="rId472" Type="http://schemas.openxmlformats.org/officeDocument/2006/relationships/hyperlink" Target="https://docs.google.com/document/d/1E-ji5TlYxwjEood80dVFCCpH-wKYX7tC_3Yv_bTORIk/edit?usp=drivesdk" TargetMode="External"/><Relationship Id="rId1063" Type="http://schemas.openxmlformats.org/officeDocument/2006/relationships/hyperlink" Target="https://docs.google.com/document/d/1u8-BvJt93icBEaLz6RZNGIwEdC-M0bUw-bfIroyXlgI/edit?usp=drivesdk" TargetMode="External"/><Relationship Id="rId471" Type="http://schemas.openxmlformats.org/officeDocument/2006/relationships/hyperlink" Target="https://docs.google.com/document/d/1E-ji5TlYxwjEood80dVFCCpH-wKYX7tC_3Yv_bTORIk/edit?usp=drivesdk" TargetMode="External"/><Relationship Id="rId1064" Type="http://schemas.openxmlformats.org/officeDocument/2006/relationships/hyperlink" Target="https://docs.google.com/document/d/1u8-BvJt93icBEaLz6RZNGIwEdC-M0bUw-bfIroyXlgI/edit?usp=drivesdk" TargetMode="External"/><Relationship Id="rId470" Type="http://schemas.openxmlformats.org/officeDocument/2006/relationships/hyperlink" Target="https://docs.google.com/document/d/1E-ji5TlYxwjEood80dVFCCpH-wKYX7tC_3Yv_bTORIk/edit?usp=drivesdk" TargetMode="External"/><Relationship Id="rId1065" Type="http://schemas.openxmlformats.org/officeDocument/2006/relationships/hyperlink" Target="https://docs.google.com/document/d/1DEz2XJE7NgnXc8mk3AmeHy7rkkMi_YfdssNQqjdXLEI/edit?usp=drivesdk" TargetMode="External"/><Relationship Id="rId235" Type="http://schemas.openxmlformats.org/officeDocument/2006/relationships/hyperlink" Target="https://docs.google.com/document/d/1xajdrfDwH0hMMjvlt9tbbSvAGZ_BlowTDlOlti1wahE/edit?usp=drivesdk" TargetMode="External"/><Relationship Id="rId477" Type="http://schemas.openxmlformats.org/officeDocument/2006/relationships/hyperlink" Target="https://docs.google.com/document/d/1BcQYjIQ4_3yQilgnsaNpHeXrE3pRVpNBocUliQfOjP0/edit?usp=drivesdk" TargetMode="External"/><Relationship Id="rId1066" Type="http://schemas.openxmlformats.org/officeDocument/2006/relationships/hyperlink" Target="https://docs.google.com/document/d/1DEz2XJE7NgnXc8mk3AmeHy7rkkMi_YfdssNQqjdXLEI/edit?usp=drivesdk" TargetMode="External"/><Relationship Id="rId234" Type="http://schemas.openxmlformats.org/officeDocument/2006/relationships/hyperlink" Target="https://docs.google.com/document/d/1xajdrfDwH0hMMjvlt9tbbSvAGZ_BlowTDlOlti1wahE/edit?usp=drivesdk" TargetMode="External"/><Relationship Id="rId476" Type="http://schemas.openxmlformats.org/officeDocument/2006/relationships/hyperlink" Target="https://docs.google.com/document/d/1BcQYjIQ4_3yQilgnsaNpHeXrE3pRVpNBocUliQfOjP0/edit?usp=drivesdk" TargetMode="External"/><Relationship Id="rId1067" Type="http://schemas.openxmlformats.org/officeDocument/2006/relationships/hyperlink" Target="https://docs.google.com/document/d/1DEz2XJE7NgnXc8mk3AmeHy7rkkMi_YfdssNQqjdXLEI/edit?usp=drivesdk" TargetMode="External"/><Relationship Id="rId233" Type="http://schemas.openxmlformats.org/officeDocument/2006/relationships/hyperlink" Target="https://docs.google.com/document/d/1xajdrfDwH0hMMjvlt9tbbSvAGZ_BlowTDlOlti1wahE/edit?usp=drivesdk" TargetMode="External"/><Relationship Id="rId475" Type="http://schemas.openxmlformats.org/officeDocument/2006/relationships/hyperlink" Target="https://docs.google.com/document/d/1BcQYjIQ4_3yQilgnsaNpHeXrE3pRVpNBocUliQfOjP0/edit?usp=drivesdk" TargetMode="External"/><Relationship Id="rId1068" Type="http://schemas.openxmlformats.org/officeDocument/2006/relationships/hyperlink" Target="https://docs.google.com/document/d/1DEz2XJE7NgnXc8mk3AmeHy7rkkMi_YfdssNQqjdXLEI/edit?usp=drivesdk" TargetMode="External"/><Relationship Id="rId232" Type="http://schemas.openxmlformats.org/officeDocument/2006/relationships/hyperlink" Target="https://docs.google.com/document/d/1lm8V-ZylpI-85aQu9UKyddFaCAhJkismt0LKJCkBHVI/edit?usp=drivesdk" TargetMode="External"/><Relationship Id="rId474" Type="http://schemas.openxmlformats.org/officeDocument/2006/relationships/hyperlink" Target="https://docs.google.com/document/d/1BcQYjIQ4_3yQilgnsaNpHeXrE3pRVpNBocUliQfOjP0/edit?usp=drivesdk" TargetMode="External"/><Relationship Id="rId1069" Type="http://schemas.openxmlformats.org/officeDocument/2006/relationships/hyperlink" Target="https://docs.google.com/document/d/1DEz2XJE7NgnXc8mk3AmeHy7rkkMi_YfdssNQqjdXLEI/edit?usp=drivesdk" TargetMode="External"/><Relationship Id="rId1015" Type="http://schemas.openxmlformats.org/officeDocument/2006/relationships/hyperlink" Target="https://docs.google.com/document/d/1eF7Y6gwhMFZyxezuwzS-NQgFf42pDvWIBk-W5o6mQzU/edit?usp=drivesdk" TargetMode="External"/><Relationship Id="rId1257" Type="http://schemas.openxmlformats.org/officeDocument/2006/relationships/hyperlink" Target="https://docs.google.com/document/d/1DJ2M8flup7cH9fUmyN3uDo87lI2F6Wf0Eb0fZe6XPik/edit?usp=drivesdk" TargetMode="External"/><Relationship Id="rId1016" Type="http://schemas.openxmlformats.org/officeDocument/2006/relationships/hyperlink" Target="https://docs.google.com/document/d/1eF7Y6gwhMFZyxezuwzS-NQgFf42pDvWIBk-W5o6mQzU/edit?usp=drivesdk" TargetMode="External"/><Relationship Id="rId1258" Type="http://schemas.openxmlformats.org/officeDocument/2006/relationships/hyperlink" Target="https://docs.google.com/document/d/1DJ2M8flup7cH9fUmyN3uDo87lI2F6Wf0Eb0fZe6XPik/edit?usp=drivesdk" TargetMode="External"/><Relationship Id="rId1017" Type="http://schemas.openxmlformats.org/officeDocument/2006/relationships/hyperlink" Target="https://docs.google.com/document/d/1eF7Y6gwhMFZyxezuwzS-NQgFf42pDvWIBk-W5o6mQzU/edit?usp=drivesdk" TargetMode="External"/><Relationship Id="rId1259" Type="http://schemas.openxmlformats.org/officeDocument/2006/relationships/hyperlink" Target="https://docs.google.com/document/d/1DJ2M8flup7cH9fUmyN3uDo87lI2F6Wf0Eb0fZe6XPik/edit?usp=drivesdk" TargetMode="External"/><Relationship Id="rId1018" Type="http://schemas.openxmlformats.org/officeDocument/2006/relationships/hyperlink" Target="https://docs.google.com/document/d/1eF7Y6gwhMFZyxezuwzS-NQgFf42pDvWIBk-W5o6mQzU/edit?usp=drivesdk" TargetMode="External"/><Relationship Id="rId1019" Type="http://schemas.openxmlformats.org/officeDocument/2006/relationships/hyperlink" Target="https://docs.google.com/document/d/1eF7Y6gwhMFZyxezuwzS-NQgFf42pDvWIBk-W5o6mQzU/edit?usp=drivesdk" TargetMode="External"/><Relationship Id="rId426" Type="http://schemas.openxmlformats.org/officeDocument/2006/relationships/hyperlink" Target="https://docs.google.com/document/d/1P1WkN22kVsXgNUcQrqZyrpwWWVqmBG7xdQ7UQTAeauE/edit?usp=drivesdk" TargetMode="External"/><Relationship Id="rId668" Type="http://schemas.openxmlformats.org/officeDocument/2006/relationships/hyperlink" Target="https://docs.google.com/document/d/1nAF5IBEJScPgPfzfrkmzOm8BJEDKSLVETWVmyIC_5dI/edit?usp=drivesdk" TargetMode="External"/><Relationship Id="rId425" Type="http://schemas.openxmlformats.org/officeDocument/2006/relationships/hyperlink" Target="https://docs.google.com/document/d/1P1WkN22kVsXgNUcQrqZyrpwWWVqmBG7xdQ7UQTAeauE/edit?usp=drivesdk" TargetMode="External"/><Relationship Id="rId667" Type="http://schemas.openxmlformats.org/officeDocument/2006/relationships/hyperlink" Target="https://docs.google.com/document/d/1elH1O29Z9d7aLm4pqtBBuxxulB9hWKHop37u8-5lCik/edit?usp=drivesdk" TargetMode="External"/><Relationship Id="rId424" Type="http://schemas.openxmlformats.org/officeDocument/2006/relationships/hyperlink" Target="https://docs.google.com/document/d/1P1WkN22kVsXgNUcQrqZyrpwWWVqmBG7xdQ7UQTAeauE/edit?usp=drivesdk" TargetMode="External"/><Relationship Id="rId666" Type="http://schemas.openxmlformats.org/officeDocument/2006/relationships/hyperlink" Target="https://docs.google.com/document/d/1elH1O29Z9d7aLm4pqtBBuxxulB9hWKHop37u8-5lCik/edit?usp=drivesdk" TargetMode="External"/><Relationship Id="rId423" Type="http://schemas.openxmlformats.org/officeDocument/2006/relationships/hyperlink" Target="https://docs.google.com/document/d/1P1WkN22kVsXgNUcQrqZyrpwWWVqmBG7xdQ7UQTAeauE/edit?usp=drivesdk" TargetMode="External"/><Relationship Id="rId665" Type="http://schemas.openxmlformats.org/officeDocument/2006/relationships/hyperlink" Target="https://docs.google.com/document/d/1elH1O29Z9d7aLm4pqtBBuxxulB9hWKHop37u8-5lCik/edit?usp=drivesdk" TargetMode="External"/><Relationship Id="rId429" Type="http://schemas.openxmlformats.org/officeDocument/2006/relationships/hyperlink" Target="https://docs.google.com/document/d/1-xOHbWHkxYg9lcL4xrbKzYPdteivQndB8aPsNMIzOto/edit?usp=drivesdk" TargetMode="External"/><Relationship Id="rId428" Type="http://schemas.openxmlformats.org/officeDocument/2006/relationships/hyperlink" Target="https://docs.google.com/document/d/1P1WkN22kVsXgNUcQrqZyrpwWWVqmBG7xdQ7UQTAeauE/edit?usp=drivesdk" TargetMode="External"/><Relationship Id="rId427" Type="http://schemas.openxmlformats.org/officeDocument/2006/relationships/hyperlink" Target="https://docs.google.com/document/d/1P1WkN22kVsXgNUcQrqZyrpwWWVqmBG7xdQ7UQTAeauE/edit?usp=drivesdk" TargetMode="External"/><Relationship Id="rId669" Type="http://schemas.openxmlformats.org/officeDocument/2006/relationships/hyperlink" Target="https://docs.google.com/document/d/1nAF5IBEJScPgPfzfrkmzOm8BJEDKSLVETWVmyIC_5dI/edit?usp=drivesdk" TargetMode="External"/><Relationship Id="rId660" Type="http://schemas.openxmlformats.org/officeDocument/2006/relationships/hyperlink" Target="https://docs.google.com/document/d/1elH1O29Z9d7aLm4pqtBBuxxulB9hWKHop37u8-5lCik/edit?usp=drivesdk" TargetMode="External"/><Relationship Id="rId1250" Type="http://schemas.openxmlformats.org/officeDocument/2006/relationships/hyperlink" Target="https://docs.google.com/document/d/1DJ2M8flup7cH9fUmyN3uDo87lI2F6Wf0Eb0fZe6XPik/edit?usp=drivesdk" TargetMode="External"/><Relationship Id="rId1251" Type="http://schemas.openxmlformats.org/officeDocument/2006/relationships/hyperlink" Target="https://docs.google.com/document/d/1DJ2M8flup7cH9fUmyN3uDo87lI2F6Wf0Eb0fZe6XPik/edit?usp=drivesdk" TargetMode="External"/><Relationship Id="rId1010" Type="http://schemas.openxmlformats.org/officeDocument/2006/relationships/hyperlink" Target="https://docs.google.com/document/d/1_vPKwFEnjGvdlsTNxWqzhuuNaJX6IqoyntnhDn_EdxM/edit?usp=drivesdk" TargetMode="External"/><Relationship Id="rId1252" Type="http://schemas.openxmlformats.org/officeDocument/2006/relationships/hyperlink" Target="https://docs.google.com/document/d/1DJ2M8flup7cH9fUmyN3uDo87lI2F6Wf0Eb0fZe6XPik/edit?usp=drivesdk" TargetMode="External"/><Relationship Id="rId422" Type="http://schemas.openxmlformats.org/officeDocument/2006/relationships/hyperlink" Target="https://docs.google.com/document/d/1P1WkN22kVsXgNUcQrqZyrpwWWVqmBG7xdQ7UQTAeauE/edit?usp=drivesdk" TargetMode="External"/><Relationship Id="rId664" Type="http://schemas.openxmlformats.org/officeDocument/2006/relationships/hyperlink" Target="https://docs.google.com/document/d/1elH1O29Z9d7aLm4pqtBBuxxulB9hWKHop37u8-5lCik/edit?usp=drivesdk" TargetMode="External"/><Relationship Id="rId1011" Type="http://schemas.openxmlformats.org/officeDocument/2006/relationships/hyperlink" Target="https://docs.google.com/document/d/1_vPKwFEnjGvdlsTNxWqzhuuNaJX6IqoyntnhDn_EdxM/edit?usp=drivesdk" TargetMode="External"/><Relationship Id="rId1253" Type="http://schemas.openxmlformats.org/officeDocument/2006/relationships/hyperlink" Target="https://docs.google.com/document/d/1DJ2M8flup7cH9fUmyN3uDo87lI2F6Wf0Eb0fZe6XPik/edit?usp=drivesdk" TargetMode="External"/><Relationship Id="rId421" Type="http://schemas.openxmlformats.org/officeDocument/2006/relationships/hyperlink" Target="https://docs.google.com/document/d/1P1WkN22kVsXgNUcQrqZyrpwWWVqmBG7xdQ7UQTAeauE/edit?usp=drivesdk" TargetMode="External"/><Relationship Id="rId663" Type="http://schemas.openxmlformats.org/officeDocument/2006/relationships/hyperlink" Target="https://docs.google.com/document/d/1elH1O29Z9d7aLm4pqtBBuxxulB9hWKHop37u8-5lCik/edit?usp=drivesdk" TargetMode="External"/><Relationship Id="rId1012" Type="http://schemas.openxmlformats.org/officeDocument/2006/relationships/hyperlink" Target="https://docs.google.com/document/d/1_vPKwFEnjGvdlsTNxWqzhuuNaJX6IqoyntnhDn_EdxM/edit?usp=drivesdk" TargetMode="External"/><Relationship Id="rId1254" Type="http://schemas.openxmlformats.org/officeDocument/2006/relationships/hyperlink" Target="https://docs.google.com/document/d/1DJ2M8flup7cH9fUmyN3uDo87lI2F6Wf0Eb0fZe6XPik/edit?usp=drivesdk" TargetMode="External"/><Relationship Id="rId420" Type="http://schemas.openxmlformats.org/officeDocument/2006/relationships/hyperlink" Target="https://docs.google.com/document/d/1P1WkN22kVsXgNUcQrqZyrpwWWVqmBG7xdQ7UQTAeauE/edit?usp=drivesdk" TargetMode="External"/><Relationship Id="rId662" Type="http://schemas.openxmlformats.org/officeDocument/2006/relationships/hyperlink" Target="https://docs.google.com/document/d/1elH1O29Z9d7aLm4pqtBBuxxulB9hWKHop37u8-5lCik/edit?usp=drivesdk" TargetMode="External"/><Relationship Id="rId1013" Type="http://schemas.openxmlformats.org/officeDocument/2006/relationships/hyperlink" Target="https://docs.google.com/document/d/1_vPKwFEnjGvdlsTNxWqzhuuNaJX6IqoyntnhDn_EdxM/edit?usp=drivesdk" TargetMode="External"/><Relationship Id="rId1255" Type="http://schemas.openxmlformats.org/officeDocument/2006/relationships/hyperlink" Target="https://docs.google.com/document/d/1DJ2M8flup7cH9fUmyN3uDo87lI2F6Wf0Eb0fZe6XPik/edit?usp=drivesdk" TargetMode="External"/><Relationship Id="rId661" Type="http://schemas.openxmlformats.org/officeDocument/2006/relationships/hyperlink" Target="https://docs.google.com/document/d/1elH1O29Z9d7aLm4pqtBBuxxulB9hWKHop37u8-5lCik/edit?usp=drivesdk" TargetMode="External"/><Relationship Id="rId1014" Type="http://schemas.openxmlformats.org/officeDocument/2006/relationships/hyperlink" Target="https://docs.google.com/document/d/1eF7Y6gwhMFZyxezuwzS-NQgFf42pDvWIBk-W5o6mQzU/edit?usp=drivesdk" TargetMode="External"/><Relationship Id="rId1256" Type="http://schemas.openxmlformats.org/officeDocument/2006/relationships/hyperlink" Target="https://docs.google.com/document/d/1DJ2M8flup7cH9fUmyN3uDo87lI2F6Wf0Eb0fZe6XPik/edit?usp=drivesdk" TargetMode="External"/><Relationship Id="rId1004" Type="http://schemas.openxmlformats.org/officeDocument/2006/relationships/hyperlink" Target="https://docs.google.com/document/d/1_vPKwFEnjGvdlsTNxWqzhuuNaJX6IqoyntnhDn_EdxM/edit?usp=drivesdk" TargetMode="External"/><Relationship Id="rId1246" Type="http://schemas.openxmlformats.org/officeDocument/2006/relationships/hyperlink" Target="https://docs.google.com/document/d/1mGyWP779XsEeZEug2fwUU9PlTvWb_CAmnsEvfNp5Jis/edit?usp=drivesdk" TargetMode="External"/><Relationship Id="rId1005" Type="http://schemas.openxmlformats.org/officeDocument/2006/relationships/hyperlink" Target="https://docs.google.com/document/d/1_vPKwFEnjGvdlsTNxWqzhuuNaJX6IqoyntnhDn_EdxM/edit?usp=drivesdk" TargetMode="External"/><Relationship Id="rId1247" Type="http://schemas.openxmlformats.org/officeDocument/2006/relationships/hyperlink" Target="https://docs.google.com/document/d/1DJ2M8flup7cH9fUmyN3uDo87lI2F6Wf0Eb0fZe6XPik/edit?usp=drivesdk" TargetMode="External"/><Relationship Id="rId1006" Type="http://schemas.openxmlformats.org/officeDocument/2006/relationships/hyperlink" Target="https://docs.google.com/document/d/1_vPKwFEnjGvdlsTNxWqzhuuNaJX6IqoyntnhDn_EdxM/edit?usp=drivesdk" TargetMode="External"/><Relationship Id="rId1248" Type="http://schemas.openxmlformats.org/officeDocument/2006/relationships/hyperlink" Target="https://docs.google.com/document/d/1DJ2M8flup7cH9fUmyN3uDo87lI2F6Wf0Eb0fZe6XPik/edit?usp=drivesdk" TargetMode="External"/><Relationship Id="rId1007" Type="http://schemas.openxmlformats.org/officeDocument/2006/relationships/hyperlink" Target="https://docs.google.com/document/d/1_vPKwFEnjGvdlsTNxWqzhuuNaJX6IqoyntnhDn_EdxM/edit?usp=drivesdk" TargetMode="External"/><Relationship Id="rId1249" Type="http://schemas.openxmlformats.org/officeDocument/2006/relationships/hyperlink" Target="https://docs.google.com/document/d/1DJ2M8flup7cH9fUmyN3uDo87lI2F6Wf0Eb0fZe6XPik/edit?usp=drivesdk" TargetMode="External"/><Relationship Id="rId1008" Type="http://schemas.openxmlformats.org/officeDocument/2006/relationships/hyperlink" Target="https://docs.google.com/document/d/1_vPKwFEnjGvdlsTNxWqzhuuNaJX6IqoyntnhDn_EdxM/edit?usp=drivesdk" TargetMode="External"/><Relationship Id="rId1009" Type="http://schemas.openxmlformats.org/officeDocument/2006/relationships/hyperlink" Target="https://docs.google.com/document/d/1_vPKwFEnjGvdlsTNxWqzhuuNaJX6IqoyntnhDn_EdxM/edit?usp=drivesdk" TargetMode="External"/><Relationship Id="rId415" Type="http://schemas.openxmlformats.org/officeDocument/2006/relationships/hyperlink" Target="https://docs.google.com/document/d/1P1WkN22kVsXgNUcQrqZyrpwWWVqmBG7xdQ7UQTAeauE/edit?usp=drivesdk" TargetMode="External"/><Relationship Id="rId657" Type="http://schemas.openxmlformats.org/officeDocument/2006/relationships/hyperlink" Target="https://docs.google.com/document/d/1geZQGFyKmFLcqF7JX3ptcqZTQm_qptmhJjbNdPnlOYI/edit?usp=drivesdk" TargetMode="External"/><Relationship Id="rId899" Type="http://schemas.openxmlformats.org/officeDocument/2006/relationships/hyperlink" Target="https://docs.google.com/document/d/18UPqzRbv-w0wr4nIJwTx8w2tkM6Uh8nQ1xHlE_ijfC8/edit?usp=drivesdk" TargetMode="External"/><Relationship Id="rId414" Type="http://schemas.openxmlformats.org/officeDocument/2006/relationships/hyperlink" Target="https://docs.google.com/document/d/1P1WkN22kVsXgNUcQrqZyrpwWWVqmBG7xdQ7UQTAeauE/edit?usp=drivesdk" TargetMode="External"/><Relationship Id="rId656" Type="http://schemas.openxmlformats.org/officeDocument/2006/relationships/hyperlink" Target="https://docs.google.com/document/d/1geZQGFyKmFLcqF7JX3ptcqZTQm_qptmhJjbNdPnlOYI/edit?usp=drivesdk" TargetMode="External"/><Relationship Id="rId898" Type="http://schemas.openxmlformats.org/officeDocument/2006/relationships/hyperlink" Target="https://docs.google.com/document/d/18UPqzRbv-w0wr4nIJwTx8w2tkM6Uh8nQ1xHlE_ijfC8/edit?usp=drivesdk" TargetMode="External"/><Relationship Id="rId413" Type="http://schemas.openxmlformats.org/officeDocument/2006/relationships/hyperlink" Target="https://docs.google.com/document/d/1P1WkN22kVsXgNUcQrqZyrpwWWVqmBG7xdQ7UQTAeauE/edit?usp=drivesdk" TargetMode="External"/><Relationship Id="rId655" Type="http://schemas.openxmlformats.org/officeDocument/2006/relationships/hyperlink" Target="https://docs.google.com/document/d/1geZQGFyKmFLcqF7JX3ptcqZTQm_qptmhJjbNdPnlOYI/edit?usp=drivesdk" TargetMode="External"/><Relationship Id="rId897" Type="http://schemas.openxmlformats.org/officeDocument/2006/relationships/hyperlink" Target="https://docs.google.com/document/d/18UPqzRbv-w0wr4nIJwTx8w2tkM6Uh8nQ1xHlE_ijfC8/edit?usp=drivesdk" TargetMode="External"/><Relationship Id="rId412" Type="http://schemas.openxmlformats.org/officeDocument/2006/relationships/hyperlink" Target="https://docs.google.com/document/d/1P1WkN22kVsXgNUcQrqZyrpwWWVqmBG7xdQ7UQTAeauE/edit?usp=drivesdk" TargetMode="External"/><Relationship Id="rId654" Type="http://schemas.openxmlformats.org/officeDocument/2006/relationships/hyperlink" Target="https://docs.google.com/document/d/1geZQGFyKmFLcqF7JX3ptcqZTQm_qptmhJjbNdPnlOYI/edit?usp=drivesdk" TargetMode="External"/><Relationship Id="rId896" Type="http://schemas.openxmlformats.org/officeDocument/2006/relationships/hyperlink" Target="https://docs.google.com/document/d/18UPqzRbv-w0wr4nIJwTx8w2tkM6Uh8nQ1xHlE_ijfC8/edit?usp=drivesdk" TargetMode="External"/><Relationship Id="rId419" Type="http://schemas.openxmlformats.org/officeDocument/2006/relationships/hyperlink" Target="https://docs.google.com/document/d/1P1WkN22kVsXgNUcQrqZyrpwWWVqmBG7xdQ7UQTAeauE/edit?usp=drivesdk" TargetMode="External"/><Relationship Id="rId418" Type="http://schemas.openxmlformats.org/officeDocument/2006/relationships/hyperlink" Target="https://docs.google.com/document/d/1P1WkN22kVsXgNUcQrqZyrpwWWVqmBG7xdQ7UQTAeauE/edit?usp=drivesdk" TargetMode="External"/><Relationship Id="rId417" Type="http://schemas.openxmlformats.org/officeDocument/2006/relationships/hyperlink" Target="https://docs.google.com/document/d/1P1WkN22kVsXgNUcQrqZyrpwWWVqmBG7xdQ7UQTAeauE/edit?usp=drivesdk" TargetMode="External"/><Relationship Id="rId659" Type="http://schemas.openxmlformats.org/officeDocument/2006/relationships/hyperlink" Target="https://docs.google.com/document/d/1elH1O29Z9d7aLm4pqtBBuxxulB9hWKHop37u8-5lCik/edit?usp=drivesdk" TargetMode="External"/><Relationship Id="rId416" Type="http://schemas.openxmlformats.org/officeDocument/2006/relationships/hyperlink" Target="https://docs.google.com/document/d/1P1WkN22kVsXgNUcQrqZyrpwWWVqmBG7xdQ7UQTAeauE/edit?usp=drivesdk" TargetMode="External"/><Relationship Id="rId658" Type="http://schemas.openxmlformats.org/officeDocument/2006/relationships/hyperlink" Target="https://docs.google.com/document/d/1geZQGFyKmFLcqF7JX3ptcqZTQm_qptmhJjbNdPnlOYI/edit?usp=drivesdk" TargetMode="External"/><Relationship Id="rId891" Type="http://schemas.openxmlformats.org/officeDocument/2006/relationships/hyperlink" Target="https://docs.google.com/document/d/18UPqzRbv-w0wr4nIJwTx8w2tkM6Uh8nQ1xHlE_ijfC8/edit?usp=drivesdk" TargetMode="External"/><Relationship Id="rId890" Type="http://schemas.openxmlformats.org/officeDocument/2006/relationships/hyperlink" Target="https://docs.google.com/document/d/18UPqzRbv-w0wr4nIJwTx8w2tkM6Uh8nQ1xHlE_ijfC8/edit?usp=drivesdk" TargetMode="External"/><Relationship Id="rId1240" Type="http://schemas.openxmlformats.org/officeDocument/2006/relationships/hyperlink" Target="https://docs.google.com/document/d/1mGyWP779XsEeZEug2fwUU9PlTvWb_CAmnsEvfNp5Jis/edit?usp=drivesdk" TargetMode="External"/><Relationship Id="rId1241" Type="http://schemas.openxmlformats.org/officeDocument/2006/relationships/hyperlink" Target="https://docs.google.com/document/d/1mGyWP779XsEeZEug2fwUU9PlTvWb_CAmnsEvfNp5Jis/edit?usp=drivesdk" TargetMode="External"/><Relationship Id="rId411" Type="http://schemas.openxmlformats.org/officeDocument/2006/relationships/hyperlink" Target="https://docs.google.com/document/d/1P1WkN22kVsXgNUcQrqZyrpwWWVqmBG7xdQ7UQTAeauE/edit?usp=drivesdk" TargetMode="External"/><Relationship Id="rId653" Type="http://schemas.openxmlformats.org/officeDocument/2006/relationships/hyperlink" Target="https://docs.google.com/document/d/1geZQGFyKmFLcqF7JX3ptcqZTQm_qptmhJjbNdPnlOYI/edit?usp=drivesdk" TargetMode="External"/><Relationship Id="rId895" Type="http://schemas.openxmlformats.org/officeDocument/2006/relationships/hyperlink" Target="https://docs.google.com/document/d/18UPqzRbv-w0wr4nIJwTx8w2tkM6Uh8nQ1xHlE_ijfC8/edit?usp=drivesdk" TargetMode="External"/><Relationship Id="rId1000" Type="http://schemas.openxmlformats.org/officeDocument/2006/relationships/hyperlink" Target="https://docs.google.com/document/d/1_vPKwFEnjGvdlsTNxWqzhuuNaJX6IqoyntnhDn_EdxM/edit?usp=drivesdk" TargetMode="External"/><Relationship Id="rId1242" Type="http://schemas.openxmlformats.org/officeDocument/2006/relationships/hyperlink" Target="https://docs.google.com/document/d/1mGyWP779XsEeZEug2fwUU9PlTvWb_CAmnsEvfNp5Jis/edit?usp=drivesdk" TargetMode="External"/><Relationship Id="rId410" Type="http://schemas.openxmlformats.org/officeDocument/2006/relationships/hyperlink" Target="https://docs.google.com/document/d/1P1WkN22kVsXgNUcQrqZyrpwWWVqmBG7xdQ7UQTAeauE/edit?usp=drivesdk" TargetMode="External"/><Relationship Id="rId652" Type="http://schemas.openxmlformats.org/officeDocument/2006/relationships/hyperlink" Target="https://docs.google.com/document/d/1geZQGFyKmFLcqF7JX3ptcqZTQm_qptmhJjbNdPnlOYI/edit?usp=drivesdk" TargetMode="External"/><Relationship Id="rId894" Type="http://schemas.openxmlformats.org/officeDocument/2006/relationships/hyperlink" Target="https://docs.google.com/document/d/18UPqzRbv-w0wr4nIJwTx8w2tkM6Uh8nQ1xHlE_ijfC8/edit?usp=drivesdk" TargetMode="External"/><Relationship Id="rId1001" Type="http://schemas.openxmlformats.org/officeDocument/2006/relationships/hyperlink" Target="https://docs.google.com/document/d/1_vPKwFEnjGvdlsTNxWqzhuuNaJX6IqoyntnhDn_EdxM/edit?usp=drivesdk" TargetMode="External"/><Relationship Id="rId1243" Type="http://schemas.openxmlformats.org/officeDocument/2006/relationships/hyperlink" Target="https://docs.google.com/document/d/1mGyWP779XsEeZEug2fwUU9PlTvWb_CAmnsEvfNp5Jis/edit?usp=drivesdk" TargetMode="External"/><Relationship Id="rId651" Type="http://schemas.openxmlformats.org/officeDocument/2006/relationships/hyperlink" Target="https://docs.google.com/document/d/1geZQGFyKmFLcqF7JX3ptcqZTQm_qptmhJjbNdPnlOYI/edit?usp=drivesdk" TargetMode="External"/><Relationship Id="rId893" Type="http://schemas.openxmlformats.org/officeDocument/2006/relationships/hyperlink" Target="https://docs.google.com/document/d/18UPqzRbv-w0wr4nIJwTx8w2tkM6Uh8nQ1xHlE_ijfC8/edit?usp=drivesdk" TargetMode="External"/><Relationship Id="rId1002" Type="http://schemas.openxmlformats.org/officeDocument/2006/relationships/hyperlink" Target="https://docs.google.com/document/d/1_vPKwFEnjGvdlsTNxWqzhuuNaJX6IqoyntnhDn_EdxM/edit?usp=drivesdk" TargetMode="External"/><Relationship Id="rId1244" Type="http://schemas.openxmlformats.org/officeDocument/2006/relationships/hyperlink" Target="https://docs.google.com/document/d/1mGyWP779XsEeZEug2fwUU9PlTvWb_CAmnsEvfNp5Jis/edit?usp=drivesdk" TargetMode="External"/><Relationship Id="rId650" Type="http://schemas.openxmlformats.org/officeDocument/2006/relationships/hyperlink" Target="https://docs.google.com/document/d/1geZQGFyKmFLcqF7JX3ptcqZTQm_qptmhJjbNdPnlOYI/edit?usp=drivesdk" TargetMode="External"/><Relationship Id="rId892" Type="http://schemas.openxmlformats.org/officeDocument/2006/relationships/hyperlink" Target="https://docs.google.com/document/d/18UPqzRbv-w0wr4nIJwTx8w2tkM6Uh8nQ1xHlE_ijfC8/edit?usp=drivesdk" TargetMode="External"/><Relationship Id="rId1003" Type="http://schemas.openxmlformats.org/officeDocument/2006/relationships/hyperlink" Target="https://docs.google.com/document/d/1_vPKwFEnjGvdlsTNxWqzhuuNaJX6IqoyntnhDn_EdxM/edit?usp=drivesdk" TargetMode="External"/><Relationship Id="rId1245" Type="http://schemas.openxmlformats.org/officeDocument/2006/relationships/hyperlink" Target="https://docs.google.com/document/d/1mGyWP779XsEeZEug2fwUU9PlTvWb_CAmnsEvfNp5Jis/edit?usp=drivesdk" TargetMode="External"/><Relationship Id="rId1037" Type="http://schemas.openxmlformats.org/officeDocument/2006/relationships/hyperlink" Target="https://docs.google.com/document/d/1CvcKR8SUlf8wwRSW8sWmzjQVjrFnLjRV5eDFVwbB-BI/edit?usp=drivesdk" TargetMode="External"/><Relationship Id="rId1279" Type="http://schemas.openxmlformats.org/officeDocument/2006/relationships/hyperlink" Target="https://docs.google.com/document/d/1q-Cd8C_UBlO8k5keUY55dfBMkDpDxE0q_3eqGNUK9ww/edit?usp=drivesdk" TargetMode="External"/><Relationship Id="rId1038" Type="http://schemas.openxmlformats.org/officeDocument/2006/relationships/hyperlink" Target="https://docs.google.com/document/d/1CvcKR8SUlf8wwRSW8sWmzjQVjrFnLjRV5eDFVwbB-BI/edit?usp=drivesdk" TargetMode="External"/><Relationship Id="rId1039" Type="http://schemas.openxmlformats.org/officeDocument/2006/relationships/hyperlink" Target="https://docs.google.com/document/d/1CvcKR8SUlf8wwRSW8sWmzjQVjrFnLjRV5eDFVwbB-BI/edit?usp=drivesdk" TargetMode="External"/><Relationship Id="rId206" Type="http://schemas.openxmlformats.org/officeDocument/2006/relationships/hyperlink" Target="https://docs.google.com/document/d/1VtytLEKEVBtJDMXGaswdFmkQF5hzCCR6WDyg1_ppG4w/edit?usp=drivesdk" TargetMode="External"/><Relationship Id="rId448" Type="http://schemas.openxmlformats.org/officeDocument/2006/relationships/hyperlink" Target="https://docs.google.com/document/d/1IExdGJGIfJtO1t0OKexX77_PmmT1ef7_SOBUHsbOxI0/edit?usp=drivesdk" TargetMode="External"/><Relationship Id="rId205" Type="http://schemas.openxmlformats.org/officeDocument/2006/relationships/hyperlink" Target="https://docs.google.com/document/d/1VtytLEKEVBtJDMXGaswdFmkQF5hzCCR6WDyg1_ppG4w/edit?usp=drivesdk" TargetMode="External"/><Relationship Id="rId447" Type="http://schemas.openxmlformats.org/officeDocument/2006/relationships/hyperlink" Target="https://docs.google.com/document/d/1IExdGJGIfJtO1t0OKexX77_PmmT1ef7_SOBUHsbOxI0/edit?usp=drivesdk" TargetMode="External"/><Relationship Id="rId689" Type="http://schemas.openxmlformats.org/officeDocument/2006/relationships/hyperlink" Target="https://docs.google.com/document/d/16IINwPNDRO3jFBR3GvJu4aS-gtI3uxmPUHM9o6IS9n8/edit?usp=drivesdk" TargetMode="External"/><Relationship Id="rId204" Type="http://schemas.openxmlformats.org/officeDocument/2006/relationships/hyperlink" Target="https://docs.google.com/document/d/1VtytLEKEVBtJDMXGaswdFmkQF5hzCCR6WDyg1_ppG4w/edit?usp=drivesdk" TargetMode="External"/><Relationship Id="rId446" Type="http://schemas.openxmlformats.org/officeDocument/2006/relationships/hyperlink" Target="https://docs.google.com/document/d/1IExdGJGIfJtO1t0OKexX77_PmmT1ef7_SOBUHsbOxI0/edit?usp=drivesdk" TargetMode="External"/><Relationship Id="rId688" Type="http://schemas.openxmlformats.org/officeDocument/2006/relationships/hyperlink" Target="https://docs.google.com/document/d/1-IBSmBqC7mJHPXMy2JfGXPu8aFHh0MJJV9EnzZI5Oac/edit?usp=drivesdk" TargetMode="External"/><Relationship Id="rId203" Type="http://schemas.openxmlformats.org/officeDocument/2006/relationships/hyperlink" Target="https://docs.google.com/document/d/1VtytLEKEVBtJDMXGaswdFmkQF5hzCCR6WDyg1_ppG4w/edit?usp=drivesdk" TargetMode="External"/><Relationship Id="rId445" Type="http://schemas.openxmlformats.org/officeDocument/2006/relationships/hyperlink" Target="https://docs.google.com/document/d/1IExdGJGIfJtO1t0OKexX77_PmmT1ef7_SOBUHsbOxI0/edit?usp=drivesdk" TargetMode="External"/><Relationship Id="rId687" Type="http://schemas.openxmlformats.org/officeDocument/2006/relationships/hyperlink" Target="https://docs.google.com/document/d/1-IBSmBqC7mJHPXMy2JfGXPu8aFHh0MJJV9EnzZI5Oac/edit?usp=drivesdk" TargetMode="External"/><Relationship Id="rId209" Type="http://schemas.openxmlformats.org/officeDocument/2006/relationships/hyperlink" Target="https://docs.google.com/document/d/1PXc924RFTgH7VRQl4xkKX84S17MCTAjQeZOGTDfbYjo/edit?usp=drivesdk" TargetMode="External"/><Relationship Id="rId208" Type="http://schemas.openxmlformats.org/officeDocument/2006/relationships/hyperlink" Target="https://docs.google.com/document/d/1PXc924RFTgH7VRQl4xkKX84S17MCTAjQeZOGTDfbYjo/edit?usp=drivesdk" TargetMode="External"/><Relationship Id="rId207" Type="http://schemas.openxmlformats.org/officeDocument/2006/relationships/hyperlink" Target="https://docs.google.com/document/d/1VtytLEKEVBtJDMXGaswdFmkQF5hzCCR6WDyg1_ppG4w/edit?usp=drivesdk" TargetMode="External"/><Relationship Id="rId449" Type="http://schemas.openxmlformats.org/officeDocument/2006/relationships/hyperlink" Target="https://docs.google.com/document/d/1IExdGJGIfJtO1t0OKexX77_PmmT1ef7_SOBUHsbOxI0/edit?usp=drivesdk" TargetMode="External"/><Relationship Id="rId1270" Type="http://schemas.openxmlformats.org/officeDocument/2006/relationships/hyperlink" Target="https://docs.google.com/document/d/1j4tzh2ncqWOcDSGnHtjGKb92Fk3Aj8ReMD09qoLOEAo/edit?usp=drivesdk" TargetMode="External"/><Relationship Id="rId440" Type="http://schemas.openxmlformats.org/officeDocument/2006/relationships/hyperlink" Target="https://docs.google.com/document/d/1IExdGJGIfJtO1t0OKexX77_PmmT1ef7_SOBUHsbOxI0/edit?usp=drivesdk" TargetMode="External"/><Relationship Id="rId682" Type="http://schemas.openxmlformats.org/officeDocument/2006/relationships/hyperlink" Target="https://docs.google.com/document/d/1-IBSmBqC7mJHPXMy2JfGXPu8aFHh0MJJV9EnzZI5Oac/edit?usp=drivesdk" TargetMode="External"/><Relationship Id="rId1271" Type="http://schemas.openxmlformats.org/officeDocument/2006/relationships/hyperlink" Target="https://docs.google.com/document/d/1q-Cd8C_UBlO8k5keUY55dfBMkDpDxE0q_3eqGNUK9ww/edit?usp=drivesdk" TargetMode="External"/><Relationship Id="rId681" Type="http://schemas.openxmlformats.org/officeDocument/2006/relationships/hyperlink" Target="https://docs.google.com/document/d/1-IBSmBqC7mJHPXMy2JfGXPu8aFHh0MJJV9EnzZI5Oac/edit?usp=drivesdk" TargetMode="External"/><Relationship Id="rId1030" Type="http://schemas.openxmlformats.org/officeDocument/2006/relationships/hyperlink" Target="https://docs.google.com/document/d/1CvcKR8SUlf8wwRSW8sWmzjQVjrFnLjRV5eDFVwbB-BI/edit?usp=drivesdk" TargetMode="External"/><Relationship Id="rId1272" Type="http://schemas.openxmlformats.org/officeDocument/2006/relationships/hyperlink" Target="https://docs.google.com/document/d/1q-Cd8C_UBlO8k5keUY55dfBMkDpDxE0q_3eqGNUK9ww/edit?usp=drivesdk" TargetMode="External"/><Relationship Id="rId680" Type="http://schemas.openxmlformats.org/officeDocument/2006/relationships/hyperlink" Target="https://docs.google.com/document/d/1-IBSmBqC7mJHPXMy2JfGXPu8aFHh0MJJV9EnzZI5Oac/edit?usp=drivesdk" TargetMode="External"/><Relationship Id="rId1031" Type="http://schemas.openxmlformats.org/officeDocument/2006/relationships/hyperlink" Target="https://docs.google.com/document/d/1CvcKR8SUlf8wwRSW8sWmzjQVjrFnLjRV5eDFVwbB-BI/edit?usp=drivesdk" TargetMode="External"/><Relationship Id="rId1273" Type="http://schemas.openxmlformats.org/officeDocument/2006/relationships/hyperlink" Target="https://docs.google.com/document/d/1q-Cd8C_UBlO8k5keUY55dfBMkDpDxE0q_3eqGNUK9ww/edit?usp=drivesdk" TargetMode="External"/><Relationship Id="rId1032" Type="http://schemas.openxmlformats.org/officeDocument/2006/relationships/hyperlink" Target="https://docs.google.com/document/d/1CvcKR8SUlf8wwRSW8sWmzjQVjrFnLjRV5eDFVwbB-BI/edit?usp=drivesdk" TargetMode="External"/><Relationship Id="rId1274" Type="http://schemas.openxmlformats.org/officeDocument/2006/relationships/hyperlink" Target="https://docs.google.com/document/d/1q-Cd8C_UBlO8k5keUY55dfBMkDpDxE0q_3eqGNUK9ww/edit?usp=drivesdk" TargetMode="External"/><Relationship Id="rId202" Type="http://schemas.openxmlformats.org/officeDocument/2006/relationships/hyperlink" Target="https://docs.google.com/document/d/1VtytLEKEVBtJDMXGaswdFmkQF5hzCCR6WDyg1_ppG4w/edit?usp=drivesdk" TargetMode="External"/><Relationship Id="rId444" Type="http://schemas.openxmlformats.org/officeDocument/2006/relationships/hyperlink" Target="https://docs.google.com/document/d/1IExdGJGIfJtO1t0OKexX77_PmmT1ef7_SOBUHsbOxI0/edit?usp=drivesdk" TargetMode="External"/><Relationship Id="rId686" Type="http://schemas.openxmlformats.org/officeDocument/2006/relationships/hyperlink" Target="https://docs.google.com/document/d/1-IBSmBqC7mJHPXMy2JfGXPu8aFHh0MJJV9EnzZI5Oac/edit?usp=drivesdk" TargetMode="External"/><Relationship Id="rId1033" Type="http://schemas.openxmlformats.org/officeDocument/2006/relationships/hyperlink" Target="https://docs.google.com/document/d/1CvcKR8SUlf8wwRSW8sWmzjQVjrFnLjRV5eDFVwbB-BI/edit?usp=drivesdk" TargetMode="External"/><Relationship Id="rId1275" Type="http://schemas.openxmlformats.org/officeDocument/2006/relationships/hyperlink" Target="https://docs.google.com/document/d/1q-Cd8C_UBlO8k5keUY55dfBMkDpDxE0q_3eqGNUK9ww/edit?usp=drivesdk" TargetMode="External"/><Relationship Id="rId201" Type="http://schemas.openxmlformats.org/officeDocument/2006/relationships/hyperlink" Target="https://docs.google.com/document/d/1VtytLEKEVBtJDMXGaswdFmkQF5hzCCR6WDyg1_ppG4w/edit?usp=drivesdk" TargetMode="External"/><Relationship Id="rId443" Type="http://schemas.openxmlformats.org/officeDocument/2006/relationships/hyperlink" Target="https://docs.google.com/document/d/1IExdGJGIfJtO1t0OKexX77_PmmT1ef7_SOBUHsbOxI0/edit?usp=drivesdk" TargetMode="External"/><Relationship Id="rId685" Type="http://schemas.openxmlformats.org/officeDocument/2006/relationships/hyperlink" Target="https://docs.google.com/document/d/1-IBSmBqC7mJHPXMy2JfGXPu8aFHh0MJJV9EnzZI5Oac/edit?usp=drivesdk" TargetMode="External"/><Relationship Id="rId1034" Type="http://schemas.openxmlformats.org/officeDocument/2006/relationships/hyperlink" Target="https://docs.google.com/document/d/1CvcKR8SUlf8wwRSW8sWmzjQVjrFnLjRV5eDFVwbB-BI/edit?usp=drivesdk" TargetMode="External"/><Relationship Id="rId1276" Type="http://schemas.openxmlformats.org/officeDocument/2006/relationships/hyperlink" Target="https://docs.google.com/document/d/1q-Cd8C_UBlO8k5keUY55dfBMkDpDxE0q_3eqGNUK9ww/edit?usp=drivesdk" TargetMode="External"/><Relationship Id="rId200" Type="http://schemas.openxmlformats.org/officeDocument/2006/relationships/hyperlink" Target="https://docs.google.com/document/d/1VtytLEKEVBtJDMXGaswdFmkQF5hzCCR6WDyg1_ppG4w/edit?usp=drivesdk" TargetMode="External"/><Relationship Id="rId442" Type="http://schemas.openxmlformats.org/officeDocument/2006/relationships/hyperlink" Target="https://docs.google.com/document/d/1IExdGJGIfJtO1t0OKexX77_PmmT1ef7_SOBUHsbOxI0/edit?usp=drivesdk" TargetMode="External"/><Relationship Id="rId684" Type="http://schemas.openxmlformats.org/officeDocument/2006/relationships/hyperlink" Target="https://docs.google.com/document/d/1-IBSmBqC7mJHPXMy2JfGXPu8aFHh0MJJV9EnzZI5Oac/edit?usp=drivesdk" TargetMode="External"/><Relationship Id="rId1035" Type="http://schemas.openxmlformats.org/officeDocument/2006/relationships/hyperlink" Target="https://docs.google.com/document/d/1CvcKR8SUlf8wwRSW8sWmzjQVjrFnLjRV5eDFVwbB-BI/edit?usp=drivesdk" TargetMode="External"/><Relationship Id="rId1277" Type="http://schemas.openxmlformats.org/officeDocument/2006/relationships/hyperlink" Target="https://docs.google.com/document/d/1q-Cd8C_UBlO8k5keUY55dfBMkDpDxE0q_3eqGNUK9ww/edit?usp=drivesdk" TargetMode="External"/><Relationship Id="rId441" Type="http://schemas.openxmlformats.org/officeDocument/2006/relationships/hyperlink" Target="https://docs.google.com/document/d/1IExdGJGIfJtO1t0OKexX77_PmmT1ef7_SOBUHsbOxI0/edit?usp=drivesdk" TargetMode="External"/><Relationship Id="rId683" Type="http://schemas.openxmlformats.org/officeDocument/2006/relationships/hyperlink" Target="https://docs.google.com/document/d/1-IBSmBqC7mJHPXMy2JfGXPu8aFHh0MJJV9EnzZI5Oac/edit?usp=drivesdk" TargetMode="External"/><Relationship Id="rId1036" Type="http://schemas.openxmlformats.org/officeDocument/2006/relationships/hyperlink" Target="https://docs.google.com/document/d/1CvcKR8SUlf8wwRSW8sWmzjQVjrFnLjRV5eDFVwbB-BI/edit?usp=drivesdk" TargetMode="External"/><Relationship Id="rId1278" Type="http://schemas.openxmlformats.org/officeDocument/2006/relationships/hyperlink" Target="https://docs.google.com/document/d/1q-Cd8C_UBlO8k5keUY55dfBMkDpDxE0q_3eqGNUK9ww/edit?usp=drivesdk" TargetMode="External"/><Relationship Id="rId1026" Type="http://schemas.openxmlformats.org/officeDocument/2006/relationships/hyperlink" Target="https://docs.google.com/document/d/1eF7Y6gwhMFZyxezuwzS-NQgFf42pDvWIBk-W5o6mQzU/edit?usp=drivesdk" TargetMode="External"/><Relationship Id="rId1268" Type="http://schemas.openxmlformats.org/officeDocument/2006/relationships/hyperlink" Target="https://docs.google.com/document/d/1j4tzh2ncqWOcDSGnHtjGKb92Fk3Aj8ReMD09qoLOEAo/edit?usp=drivesdk" TargetMode="External"/><Relationship Id="rId1027" Type="http://schemas.openxmlformats.org/officeDocument/2006/relationships/hyperlink" Target="https://docs.google.com/document/d/1CvcKR8SUlf8wwRSW8sWmzjQVjrFnLjRV5eDFVwbB-BI/edit?usp=drivesdk" TargetMode="External"/><Relationship Id="rId1269" Type="http://schemas.openxmlformats.org/officeDocument/2006/relationships/hyperlink" Target="https://docs.google.com/document/d/1j4tzh2ncqWOcDSGnHtjGKb92Fk3Aj8ReMD09qoLOEAo/edit?usp=drivesdk" TargetMode="External"/><Relationship Id="rId1028" Type="http://schemas.openxmlformats.org/officeDocument/2006/relationships/hyperlink" Target="https://docs.google.com/document/d/1CvcKR8SUlf8wwRSW8sWmzjQVjrFnLjRV5eDFVwbB-BI/edit?usp=drivesdk" TargetMode="External"/><Relationship Id="rId1029" Type="http://schemas.openxmlformats.org/officeDocument/2006/relationships/hyperlink" Target="https://docs.google.com/document/d/1CvcKR8SUlf8wwRSW8sWmzjQVjrFnLjRV5eDFVwbB-BI/edit?usp=drivesdk" TargetMode="External"/><Relationship Id="rId437" Type="http://schemas.openxmlformats.org/officeDocument/2006/relationships/hyperlink" Target="https://docs.google.com/document/d/1-xOHbWHkxYg9lcL4xrbKzYPdteivQndB8aPsNMIzOto/edit?usp=drivesdk" TargetMode="External"/><Relationship Id="rId679" Type="http://schemas.openxmlformats.org/officeDocument/2006/relationships/hyperlink" Target="https://docs.google.com/document/d/1-IBSmBqC7mJHPXMy2JfGXPu8aFHh0MJJV9EnzZI5Oac/edit?usp=drivesdk" TargetMode="External"/><Relationship Id="rId436" Type="http://schemas.openxmlformats.org/officeDocument/2006/relationships/hyperlink" Target="https://docs.google.com/document/d/1-xOHbWHkxYg9lcL4xrbKzYPdteivQndB8aPsNMIzOto/edit?usp=drivesdk" TargetMode="External"/><Relationship Id="rId678" Type="http://schemas.openxmlformats.org/officeDocument/2006/relationships/hyperlink" Target="https://docs.google.com/document/d/1-IBSmBqC7mJHPXMy2JfGXPu8aFHh0MJJV9EnzZI5Oac/edit?usp=drivesdk" TargetMode="External"/><Relationship Id="rId435" Type="http://schemas.openxmlformats.org/officeDocument/2006/relationships/hyperlink" Target="https://docs.google.com/document/d/1-xOHbWHkxYg9lcL4xrbKzYPdteivQndB8aPsNMIzOto/edit?usp=drivesdk" TargetMode="External"/><Relationship Id="rId677" Type="http://schemas.openxmlformats.org/officeDocument/2006/relationships/hyperlink" Target="https://docs.google.com/document/d/1-IBSmBqC7mJHPXMy2JfGXPu8aFHh0MJJV9EnzZI5Oac/edit?usp=drivesdk" TargetMode="External"/><Relationship Id="rId434" Type="http://schemas.openxmlformats.org/officeDocument/2006/relationships/hyperlink" Target="https://docs.google.com/document/d/1-xOHbWHkxYg9lcL4xrbKzYPdteivQndB8aPsNMIzOto/edit?usp=drivesdk" TargetMode="External"/><Relationship Id="rId676" Type="http://schemas.openxmlformats.org/officeDocument/2006/relationships/hyperlink" Target="https://docs.google.com/document/d/1-IBSmBqC7mJHPXMy2JfGXPu8aFHh0MJJV9EnzZI5Oac/edit?usp=drivesdk" TargetMode="External"/><Relationship Id="rId439" Type="http://schemas.openxmlformats.org/officeDocument/2006/relationships/hyperlink" Target="https://docs.google.com/document/d/1IExdGJGIfJtO1t0OKexX77_PmmT1ef7_SOBUHsbOxI0/edit?usp=drivesdk" TargetMode="External"/><Relationship Id="rId438" Type="http://schemas.openxmlformats.org/officeDocument/2006/relationships/hyperlink" Target="https://docs.google.com/document/d/1-xOHbWHkxYg9lcL4xrbKzYPdteivQndB8aPsNMIzOto/edit?usp=drivesdk" TargetMode="External"/><Relationship Id="rId671" Type="http://schemas.openxmlformats.org/officeDocument/2006/relationships/hyperlink" Target="https://docs.google.com/document/d/1-IBSmBqC7mJHPXMy2JfGXPu8aFHh0MJJV9EnzZI5Oac/edit?usp=drivesdk" TargetMode="External"/><Relationship Id="rId1260" Type="http://schemas.openxmlformats.org/officeDocument/2006/relationships/hyperlink" Target="https://docs.google.com/document/d/1DJ2M8flup7cH9fUmyN3uDo87lI2F6Wf0Eb0fZe6XPik/edit?usp=drivesdk" TargetMode="External"/><Relationship Id="rId670" Type="http://schemas.openxmlformats.org/officeDocument/2006/relationships/hyperlink" Target="https://docs.google.com/document/d/1nAF5IBEJScPgPfzfrkmzOm8BJEDKSLVETWVmyIC_5dI/edit?usp=drivesdk" TargetMode="External"/><Relationship Id="rId1261" Type="http://schemas.openxmlformats.org/officeDocument/2006/relationships/hyperlink" Target="https://docs.google.com/document/d/1DJ2M8flup7cH9fUmyN3uDo87lI2F6Wf0Eb0fZe6XPik/edit?usp=drivesdk" TargetMode="External"/><Relationship Id="rId1020" Type="http://schemas.openxmlformats.org/officeDocument/2006/relationships/hyperlink" Target="https://docs.google.com/document/d/1eF7Y6gwhMFZyxezuwzS-NQgFf42pDvWIBk-W5o6mQzU/edit?usp=drivesdk" TargetMode="External"/><Relationship Id="rId1262" Type="http://schemas.openxmlformats.org/officeDocument/2006/relationships/hyperlink" Target="https://docs.google.com/document/d/1j4tzh2ncqWOcDSGnHtjGKb92Fk3Aj8ReMD09qoLOEAo/edit?usp=drivesdk" TargetMode="External"/><Relationship Id="rId1021" Type="http://schemas.openxmlformats.org/officeDocument/2006/relationships/hyperlink" Target="https://docs.google.com/document/d/1eF7Y6gwhMFZyxezuwzS-NQgFf42pDvWIBk-W5o6mQzU/edit?usp=drivesdk" TargetMode="External"/><Relationship Id="rId1263" Type="http://schemas.openxmlformats.org/officeDocument/2006/relationships/hyperlink" Target="https://docs.google.com/document/d/1j4tzh2ncqWOcDSGnHtjGKb92Fk3Aj8ReMD09qoLOEAo/edit?usp=drivesdk" TargetMode="External"/><Relationship Id="rId433" Type="http://schemas.openxmlformats.org/officeDocument/2006/relationships/hyperlink" Target="https://docs.google.com/document/d/1-xOHbWHkxYg9lcL4xrbKzYPdteivQndB8aPsNMIzOto/edit?usp=drivesdk" TargetMode="External"/><Relationship Id="rId675" Type="http://schemas.openxmlformats.org/officeDocument/2006/relationships/hyperlink" Target="https://docs.google.com/document/d/1-IBSmBqC7mJHPXMy2JfGXPu8aFHh0MJJV9EnzZI5Oac/edit?usp=drivesdk" TargetMode="External"/><Relationship Id="rId1022" Type="http://schemas.openxmlformats.org/officeDocument/2006/relationships/hyperlink" Target="https://docs.google.com/document/d/1eF7Y6gwhMFZyxezuwzS-NQgFf42pDvWIBk-W5o6mQzU/edit?usp=drivesdk" TargetMode="External"/><Relationship Id="rId1264" Type="http://schemas.openxmlformats.org/officeDocument/2006/relationships/hyperlink" Target="https://docs.google.com/document/d/1j4tzh2ncqWOcDSGnHtjGKb92Fk3Aj8ReMD09qoLOEAo/edit?usp=drivesdk" TargetMode="External"/><Relationship Id="rId432" Type="http://schemas.openxmlformats.org/officeDocument/2006/relationships/hyperlink" Target="https://docs.google.com/document/d/1-xOHbWHkxYg9lcL4xrbKzYPdteivQndB8aPsNMIzOto/edit?usp=drivesdk" TargetMode="External"/><Relationship Id="rId674" Type="http://schemas.openxmlformats.org/officeDocument/2006/relationships/hyperlink" Target="https://docs.google.com/document/d/1-IBSmBqC7mJHPXMy2JfGXPu8aFHh0MJJV9EnzZI5Oac/edit?usp=drivesdk" TargetMode="External"/><Relationship Id="rId1023" Type="http://schemas.openxmlformats.org/officeDocument/2006/relationships/hyperlink" Target="https://docs.google.com/document/d/1eF7Y6gwhMFZyxezuwzS-NQgFf42pDvWIBk-W5o6mQzU/edit?usp=drivesdk" TargetMode="External"/><Relationship Id="rId1265" Type="http://schemas.openxmlformats.org/officeDocument/2006/relationships/hyperlink" Target="https://docs.google.com/document/d/1j4tzh2ncqWOcDSGnHtjGKb92Fk3Aj8ReMD09qoLOEAo/edit?usp=drivesdk" TargetMode="External"/><Relationship Id="rId431" Type="http://schemas.openxmlformats.org/officeDocument/2006/relationships/hyperlink" Target="https://docs.google.com/document/d/1-xOHbWHkxYg9lcL4xrbKzYPdteivQndB8aPsNMIzOto/edit?usp=drivesdk" TargetMode="External"/><Relationship Id="rId673" Type="http://schemas.openxmlformats.org/officeDocument/2006/relationships/hyperlink" Target="https://docs.google.com/document/d/1-IBSmBqC7mJHPXMy2JfGXPu8aFHh0MJJV9EnzZI5Oac/edit?usp=drivesdk" TargetMode="External"/><Relationship Id="rId1024" Type="http://schemas.openxmlformats.org/officeDocument/2006/relationships/hyperlink" Target="https://docs.google.com/document/d/1eF7Y6gwhMFZyxezuwzS-NQgFf42pDvWIBk-W5o6mQzU/edit?usp=drivesdk" TargetMode="External"/><Relationship Id="rId1266" Type="http://schemas.openxmlformats.org/officeDocument/2006/relationships/hyperlink" Target="https://docs.google.com/document/d/1j4tzh2ncqWOcDSGnHtjGKb92Fk3Aj8ReMD09qoLOEAo/edit?usp=drivesdk" TargetMode="External"/><Relationship Id="rId430" Type="http://schemas.openxmlformats.org/officeDocument/2006/relationships/hyperlink" Target="https://docs.google.com/document/d/1-xOHbWHkxYg9lcL4xrbKzYPdteivQndB8aPsNMIzOto/edit?usp=drivesdk" TargetMode="External"/><Relationship Id="rId672" Type="http://schemas.openxmlformats.org/officeDocument/2006/relationships/hyperlink" Target="https://docs.google.com/document/d/1-IBSmBqC7mJHPXMy2JfGXPu8aFHh0MJJV9EnzZI5Oac/edit?usp=drivesdk" TargetMode="External"/><Relationship Id="rId1025" Type="http://schemas.openxmlformats.org/officeDocument/2006/relationships/hyperlink" Target="https://docs.google.com/document/d/1eF7Y6gwhMFZyxezuwzS-NQgFf42pDvWIBk-W5o6mQzU/edit?usp=drivesdk" TargetMode="External"/><Relationship Id="rId1267" Type="http://schemas.openxmlformats.org/officeDocument/2006/relationships/hyperlink" Target="https://docs.google.com/document/d/1j4tzh2ncqWOcDSGnHtjGKb92Fk3Aj8ReMD09qoLOEAo/edit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16.13"/>
    <col customWidth="1" min="3" max="3" width="32.0"/>
    <col customWidth="1" min="4" max="4" width="5.13"/>
    <col customWidth="1" min="5" max="5" width="30.75"/>
    <col customWidth="1" min="6" max="6" width="9.25"/>
    <col customWidth="1" min="7" max="8" width="5.13"/>
    <col customWidth="1" min="9" max="9" width="15.13"/>
    <col customWidth="1" min="10" max="10" width="17.88"/>
    <col customWidth="1" min="11" max="11" width="6.13"/>
    <col customWidth="1" min="12" max="12" width="6.63"/>
    <col customWidth="1" min="13" max="13" width="7.13"/>
    <col customWidth="1" min="14" max="15" width="2.75"/>
    <col customWidth="1" min="16" max="16" width="12.38"/>
    <col customWidth="1" min="17" max="17" width="11.13"/>
    <col customWidth="1" min="18" max="18" width="14.75"/>
    <col customWidth="1" min="19" max="19" width="12.5"/>
    <col customWidth="1" min="20" max="20" width="9.75"/>
    <col customWidth="1" min="21" max="21" width="2.75"/>
    <col customWidth="1" min="22" max="22" width="13.75"/>
    <col customWidth="1" min="23" max="23" width="4.88"/>
    <col customWidth="1" min="24" max="24" width="2.75"/>
  </cols>
  <sheetData>
    <row r="1" ht="7.5" customHeight="1">
      <c r="A1" s="1"/>
      <c r="B1" s="2"/>
      <c r="C1" s="3"/>
      <c r="D1" s="4"/>
      <c r="E1" s="4"/>
      <c r="F1" s="5"/>
      <c r="G1" s="4"/>
      <c r="H1" s="4"/>
      <c r="I1" s="4"/>
      <c r="J1" s="4"/>
      <c r="K1" s="4"/>
      <c r="L1" s="4"/>
      <c r="M1" s="4"/>
      <c r="N1" s="4"/>
      <c r="O1" s="4"/>
      <c r="P1" s="6"/>
      <c r="Q1" s="4"/>
      <c r="R1" s="4"/>
      <c r="S1" s="4"/>
      <c r="T1" s="2"/>
      <c r="U1" s="2"/>
      <c r="V1" s="2"/>
      <c r="W1" s="3"/>
      <c r="X1" s="7"/>
    </row>
    <row r="2" ht="15.75" customHeight="1">
      <c r="A2" s="1"/>
      <c r="B2" s="8" t="s">
        <v>0</v>
      </c>
      <c r="C2" s="9"/>
      <c r="D2" s="10"/>
      <c r="E2" s="11" t="s">
        <v>1</v>
      </c>
      <c r="F2" s="12">
        <v>8.4</v>
      </c>
      <c r="G2" s="4"/>
      <c r="H2" s="4"/>
      <c r="I2" s="13" t="s">
        <v>2</v>
      </c>
      <c r="J2" s="14"/>
      <c r="K2" s="14"/>
      <c r="L2" s="14"/>
      <c r="M2" s="15"/>
      <c r="N2" s="4"/>
      <c r="O2" s="4"/>
      <c r="P2" s="16" t="s">
        <v>3</v>
      </c>
      <c r="Q2" s="14"/>
      <c r="R2" s="14"/>
      <c r="S2" s="14"/>
      <c r="T2" s="14"/>
      <c r="U2" s="14"/>
      <c r="V2" s="14"/>
      <c r="W2" s="15"/>
      <c r="X2" s="7"/>
    </row>
    <row r="3" ht="15.75" customHeight="1">
      <c r="A3" s="1"/>
      <c r="B3" s="17" t="s">
        <v>4</v>
      </c>
      <c r="C3" s="18" t="str">
        <f>IF(C2="", "", IFERROR(VLOOKUP(C2, 'Food Chart'!A:B, 2, FALSE), ""))</f>
        <v/>
      </c>
      <c r="D3" s="4"/>
      <c r="E3" s="19" t="s">
        <v>5</v>
      </c>
      <c r="F3" s="20">
        <v>6.2</v>
      </c>
      <c r="G3" s="4"/>
      <c r="H3" s="4"/>
      <c r="I3" s="4"/>
      <c r="J3" s="4"/>
      <c r="K3" s="4"/>
      <c r="L3" s="4"/>
      <c r="M3" s="4"/>
      <c r="N3" s="4"/>
      <c r="O3" s="4"/>
      <c r="P3" s="6"/>
      <c r="Q3" s="4"/>
      <c r="R3" s="4"/>
      <c r="S3" s="4"/>
      <c r="T3" s="2"/>
      <c r="U3" s="2"/>
      <c r="V3" s="2"/>
      <c r="W3" s="3"/>
      <c r="X3" s="7"/>
    </row>
    <row r="4" ht="15.75" customHeight="1">
      <c r="A4" s="1"/>
      <c r="B4" s="21" t="s">
        <v>6</v>
      </c>
      <c r="C4" s="22" t="str">
        <f>IF(C2="", "", IFERROR(VLOOKUP(C2, 'Food Chart'!A:C, 3, FALSE), ""))</f>
        <v/>
      </c>
      <c r="D4" s="4" t="str">
        <f>IF(C2="", "", IFERROR(VLOOKUP(C2, 'Food Chart'!A:D, 4, FALSE), ""))</f>
        <v/>
      </c>
      <c r="E4" s="23" t="s">
        <v>7</v>
      </c>
      <c r="F4" s="24">
        <v>8.5</v>
      </c>
      <c r="G4" s="4"/>
      <c r="H4" s="4"/>
      <c r="I4" s="25" t="s">
        <v>8</v>
      </c>
      <c r="J4" s="25" t="s">
        <v>9</v>
      </c>
      <c r="K4" s="25" t="s">
        <v>10</v>
      </c>
      <c r="L4" s="25" t="s">
        <v>11</v>
      </c>
      <c r="M4" s="25" t="s">
        <v>12</v>
      </c>
      <c r="N4" s="4"/>
      <c r="O4" s="4"/>
      <c r="P4" s="26" t="s">
        <v>13</v>
      </c>
      <c r="Q4" s="25" t="s">
        <v>14</v>
      </c>
      <c r="R4" s="25" t="s">
        <v>15</v>
      </c>
      <c r="S4" s="25" t="s">
        <v>16</v>
      </c>
      <c r="T4" s="27" t="s">
        <v>17</v>
      </c>
      <c r="U4" s="2"/>
      <c r="V4" s="28" t="s">
        <v>18</v>
      </c>
      <c r="W4" s="29"/>
      <c r="X4" s="7"/>
    </row>
    <row r="5" ht="15.75" customHeight="1">
      <c r="A5" s="4"/>
      <c r="B5" s="21" t="s">
        <v>19</v>
      </c>
      <c r="C5" s="30"/>
      <c r="D5" s="10"/>
      <c r="E5" s="2"/>
      <c r="F5" s="31"/>
      <c r="G5" s="4"/>
      <c r="H5" s="4"/>
      <c r="I5" s="32"/>
      <c r="J5" s="33"/>
      <c r="K5" s="34"/>
      <c r="L5" s="33"/>
      <c r="M5" s="33"/>
      <c r="N5" s="4"/>
      <c r="O5" s="4"/>
      <c r="P5" s="35"/>
      <c r="Q5" s="33"/>
      <c r="R5" s="33"/>
      <c r="S5" s="33"/>
      <c r="T5" s="36"/>
      <c r="U5" s="2"/>
      <c r="V5" s="28" t="s">
        <v>20</v>
      </c>
      <c r="W5" s="37"/>
      <c r="X5" s="7"/>
    </row>
    <row r="6" ht="15.75" customHeight="1">
      <c r="A6" s="10"/>
      <c r="B6" s="38" t="s">
        <v>21</v>
      </c>
      <c r="C6" s="39"/>
      <c r="D6" s="4"/>
      <c r="E6" s="11" t="s">
        <v>22</v>
      </c>
      <c r="F6" s="40">
        <v>6.8</v>
      </c>
      <c r="G6" s="10"/>
      <c r="H6" s="4"/>
      <c r="I6" s="32"/>
      <c r="J6" s="33"/>
      <c r="K6" s="34"/>
      <c r="L6" s="33"/>
      <c r="M6" s="33"/>
      <c r="N6" s="4"/>
      <c r="O6" s="4"/>
      <c r="P6" s="35"/>
      <c r="Q6" s="33"/>
      <c r="R6" s="33"/>
      <c r="S6" s="33"/>
      <c r="T6" s="36"/>
      <c r="U6" s="2"/>
      <c r="V6" s="28" t="s">
        <v>23</v>
      </c>
      <c r="W6" s="37"/>
      <c r="X6" s="7"/>
    </row>
    <row r="7" ht="15.75" customHeight="1">
      <c r="A7" s="10"/>
      <c r="B7" s="7"/>
      <c r="C7" s="41"/>
      <c r="D7" s="10"/>
      <c r="E7" s="23" t="s">
        <v>24</v>
      </c>
      <c r="F7" s="42"/>
      <c r="G7" s="4"/>
      <c r="H7" s="4"/>
      <c r="I7" s="32"/>
      <c r="J7" s="33"/>
      <c r="K7" s="34"/>
      <c r="L7" s="33"/>
      <c r="M7" s="33"/>
      <c r="N7" s="4"/>
      <c r="O7" s="4"/>
      <c r="P7" s="35"/>
      <c r="Q7" s="33"/>
      <c r="R7" s="33"/>
      <c r="S7" s="33"/>
      <c r="T7" s="36"/>
      <c r="U7" s="2"/>
      <c r="V7" s="28" t="s">
        <v>25</v>
      </c>
      <c r="W7" s="43"/>
      <c r="X7" s="7"/>
    </row>
    <row r="8" ht="15.75" customHeight="1">
      <c r="A8" s="4"/>
      <c r="B8" s="8" t="s">
        <v>0</v>
      </c>
      <c r="C8" s="9"/>
      <c r="D8" s="10"/>
      <c r="E8" s="44" t="s">
        <v>26</v>
      </c>
      <c r="F8" s="42"/>
      <c r="G8" s="4"/>
      <c r="H8" s="4"/>
      <c r="I8" s="32"/>
      <c r="J8" s="33"/>
      <c r="K8" s="34"/>
      <c r="L8" s="33"/>
      <c r="M8" s="33"/>
      <c r="N8" s="4"/>
      <c r="O8" s="4"/>
      <c r="P8" s="35"/>
      <c r="Q8" s="33"/>
      <c r="R8" s="33"/>
      <c r="S8" s="33"/>
      <c r="T8" s="36"/>
      <c r="U8" s="2"/>
      <c r="W8" s="45"/>
      <c r="X8" s="7"/>
    </row>
    <row r="9" ht="15.75" customHeight="1">
      <c r="A9" s="10"/>
      <c r="B9" s="17" t="s">
        <v>4</v>
      </c>
      <c r="C9" s="18" t="str">
        <f>IF(C8="", "", IFERROR(VLOOKUP(C8, 'Food Chart'!A:B, 2, FALSE), ""))</f>
        <v/>
      </c>
      <c r="D9" s="4"/>
      <c r="E9" s="31"/>
      <c r="F9" s="46"/>
      <c r="G9" s="4"/>
      <c r="H9" s="4"/>
      <c r="I9" s="32"/>
      <c r="J9" s="33"/>
      <c r="K9" s="34"/>
      <c r="L9" s="33"/>
      <c r="M9" s="33"/>
      <c r="N9" s="4"/>
      <c r="O9" s="4"/>
      <c r="P9" s="35"/>
      <c r="Q9" s="47"/>
      <c r="R9" s="47"/>
      <c r="S9" s="47"/>
      <c r="T9" s="48"/>
      <c r="U9" s="2"/>
      <c r="V9" s="28" t="s">
        <v>16</v>
      </c>
      <c r="W9" s="49"/>
      <c r="X9" s="7"/>
    </row>
    <row r="10" ht="15.75" customHeight="1">
      <c r="A10" s="50"/>
      <c r="B10" s="21" t="s">
        <v>6</v>
      </c>
      <c r="C10" s="22" t="str">
        <f>IF(C8="", "", IFERROR(VLOOKUP(C8, 'Food Chart'!A:C, 3, FALSE), ""))</f>
        <v/>
      </c>
      <c r="D10" s="4" t="str">
        <f>IF(C8="", "", IFERROR(VLOOKUP(C8, 'Food Chart'!A:D, 4, FALSE), ""))</f>
        <v/>
      </c>
      <c r="E10" s="11" t="s">
        <v>27</v>
      </c>
      <c r="F10" s="51">
        <v>0.0</v>
      </c>
      <c r="G10" s="4"/>
      <c r="H10" s="4"/>
      <c r="I10" s="32"/>
      <c r="J10" s="33"/>
      <c r="K10" s="34"/>
      <c r="L10" s="33"/>
      <c r="M10" s="33"/>
      <c r="N10" s="4"/>
      <c r="O10" s="4"/>
      <c r="P10" s="52"/>
      <c r="Q10" s="53"/>
      <c r="R10" s="53"/>
      <c r="S10" s="53"/>
      <c r="T10" s="54"/>
      <c r="U10" s="2"/>
      <c r="V10" s="28" t="s">
        <v>28</v>
      </c>
      <c r="W10" s="37"/>
      <c r="X10" s="7"/>
    </row>
    <row r="11" ht="15.75" customHeight="1">
      <c r="B11" s="21" t="s">
        <v>19</v>
      </c>
      <c r="C11" s="30"/>
      <c r="E11" s="23" t="s">
        <v>29</v>
      </c>
      <c r="F11" s="55">
        <v>0.0</v>
      </c>
      <c r="P11" s="56"/>
      <c r="Q11" s="57"/>
      <c r="R11" s="57"/>
      <c r="S11" s="57"/>
      <c r="T11" s="58"/>
      <c r="U11" s="7"/>
      <c r="V11" s="7"/>
      <c r="W11" s="59"/>
      <c r="X11" s="7"/>
    </row>
    <row r="12" ht="15.75" customHeight="1">
      <c r="B12" s="38" t="s">
        <v>21</v>
      </c>
      <c r="C12" s="39"/>
      <c r="D12" s="60"/>
      <c r="P12" s="56"/>
      <c r="Q12" s="57"/>
      <c r="R12" s="57"/>
      <c r="S12" s="57"/>
      <c r="T12" s="58"/>
      <c r="U12" s="7"/>
      <c r="V12" s="7"/>
      <c r="W12" s="59"/>
      <c r="X12" s="7"/>
    </row>
    <row r="13" ht="15.75" customHeight="1">
      <c r="B13" s="7"/>
      <c r="C13" s="61"/>
      <c r="E13" s="62" t="s">
        <v>30</v>
      </c>
      <c r="F13" s="63">
        <f>IF(OR(F2&lt;=0,F4&lt;=0),"",IF(AND(F6=0,F7=0),"",FLOOR(MAX(0,IF(F2&gt;0,F7/F2,0)+IF(AND(F4&gt;0,F3&gt;0,F6&gt;0),(F6-F3)/F4,0)-IF(F10&gt;0,F10,0)-IF(F11&gt;0,F11/F2,0)),0.05)))</f>
        <v>0.05</v>
      </c>
      <c r="P13" s="56"/>
      <c r="Q13" s="57"/>
      <c r="R13" s="57"/>
      <c r="S13" s="57"/>
      <c r="T13" s="58"/>
      <c r="U13" s="7"/>
      <c r="V13" s="7"/>
      <c r="W13" s="59"/>
      <c r="X13" s="7"/>
    </row>
    <row r="14" ht="15.75" customHeight="1">
      <c r="B14" s="8" t="s">
        <v>0</v>
      </c>
      <c r="C14" s="9"/>
      <c r="D14" s="60"/>
      <c r="E14" s="64"/>
      <c r="F14" s="64"/>
      <c r="P14" s="56"/>
      <c r="Q14" s="57"/>
      <c r="R14" s="57"/>
      <c r="S14" s="57"/>
      <c r="T14" s="58"/>
      <c r="U14" s="7"/>
      <c r="V14" s="7"/>
      <c r="W14" s="59"/>
      <c r="X14" s="7"/>
    </row>
    <row r="15" ht="15.75" customHeight="1">
      <c r="B15" s="17" t="s">
        <v>4</v>
      </c>
      <c r="C15" s="18" t="str">
        <f>IF(C14="", "", IFERROR(VLOOKUP(C14, 'Food Chart'!A:B, 2, FALSE), ""))</f>
        <v/>
      </c>
      <c r="P15" s="56"/>
      <c r="Q15" s="57"/>
      <c r="R15" s="57"/>
      <c r="S15" s="57"/>
      <c r="T15" s="58"/>
      <c r="U15" s="7"/>
      <c r="V15" s="7"/>
      <c r="W15" s="59"/>
      <c r="X15" s="7"/>
    </row>
    <row r="16" ht="15.75" customHeight="1">
      <c r="B16" s="21" t="s">
        <v>6</v>
      </c>
      <c r="C16" s="22" t="str">
        <f>IF(C14="", "", IFERROR(VLOOKUP(C14, 'Food Chart'!A:C, 3, FALSE), ""))</f>
        <v/>
      </c>
      <c r="D16" s="65" t="str">
        <f>IF(C14="", "", IFERROR(VLOOKUP(C14, 'Food Chart'!A:D, 4, FALSE), ""))</f>
        <v/>
      </c>
      <c r="E16" s="66" t="str">
        <f>IFERROR(__xludf.DUMMYFUNCTION("IF(F14="""", ""Bolus time"",
   IF(ISTEXT(F14),
      F14,
      REGEXREPLACE(REGEXREPLACE(TEXT(FLOOR(F14, 0.05), ""0.00""), ""([.,]\d)0$"", ""$1""), ""[.,]0$"", """")
   ) &amp; "" U bolus at""
)"),"Bolus time")</f>
        <v>Bolus time</v>
      </c>
      <c r="F16" s="67"/>
      <c r="J16" s="60" t="s">
        <v>31</v>
      </c>
      <c r="P16" s="56"/>
      <c r="Q16" s="57"/>
      <c r="R16" s="57"/>
      <c r="S16" s="57"/>
      <c r="T16" s="58"/>
      <c r="U16" s="7"/>
      <c r="V16" s="7"/>
      <c r="W16" s="59"/>
      <c r="X16" s="7"/>
    </row>
    <row r="17" ht="15.75" customHeight="1">
      <c r="B17" s="21" t="s">
        <v>19</v>
      </c>
      <c r="C17" s="30"/>
      <c r="D17" s="60"/>
      <c r="E17" s="68" t="s">
        <v>32</v>
      </c>
      <c r="F17" s="69"/>
      <c r="J17" s="60" t="s">
        <v>33</v>
      </c>
      <c r="P17" s="56"/>
      <c r="Q17" s="57"/>
      <c r="R17" s="57"/>
      <c r="S17" s="57"/>
      <c r="T17" s="58"/>
      <c r="U17" s="7"/>
      <c r="V17" s="7"/>
      <c r="W17" s="70"/>
      <c r="X17" s="71"/>
    </row>
    <row r="18" ht="15.75" customHeight="1">
      <c r="B18" s="38" t="s">
        <v>21</v>
      </c>
      <c r="C18" s="39"/>
      <c r="E18" s="68" t="s">
        <v>34</v>
      </c>
      <c r="F18" s="69"/>
      <c r="P18" s="56"/>
      <c r="Q18" s="57"/>
      <c r="R18" s="57"/>
      <c r="S18" s="57"/>
      <c r="T18" s="58"/>
      <c r="U18" s="7"/>
      <c r="V18" s="7"/>
      <c r="W18" s="70"/>
      <c r="X18" s="71"/>
    </row>
    <row r="19" ht="15.75" customHeight="1">
      <c r="B19" s="7"/>
      <c r="C19" s="72"/>
      <c r="E19" s="73" t="s">
        <v>35</v>
      </c>
      <c r="F19" s="74" t="str">
        <f>IF(OR(F18="",F16=""),"",ROUND((F18-F16)*24*60,0)&amp;" minutes")</f>
        <v/>
      </c>
      <c r="I19" s="75"/>
      <c r="P19" s="56"/>
      <c r="Q19" s="57"/>
      <c r="R19" s="57"/>
      <c r="S19" s="57"/>
      <c r="T19" s="58"/>
      <c r="U19" s="7"/>
      <c r="V19" s="7"/>
      <c r="W19" s="59"/>
      <c r="X19" s="7"/>
    </row>
    <row r="20" ht="15.75" customHeight="1">
      <c r="B20" s="8" t="s">
        <v>0</v>
      </c>
      <c r="C20" s="9"/>
      <c r="D20" s="60"/>
      <c r="F20" s="76"/>
      <c r="I20" s="60" t="s">
        <v>31</v>
      </c>
      <c r="P20" s="56"/>
      <c r="Q20" s="57"/>
      <c r="R20" s="57"/>
      <c r="S20" s="57"/>
      <c r="T20" s="58"/>
      <c r="U20" s="7"/>
      <c r="V20" s="7"/>
      <c r="W20" s="59"/>
      <c r="X20" s="7"/>
    </row>
    <row r="21" ht="15.75" customHeight="1">
      <c r="B21" s="17" t="s">
        <v>4</v>
      </c>
      <c r="C21" s="18" t="str">
        <f>IF(C20="", "", IFERROR(VLOOKUP(C20, 'Food Chart'!A:B, 2, FALSE), ""))</f>
        <v/>
      </c>
      <c r="P21" s="56"/>
      <c r="Q21" s="57"/>
      <c r="R21" s="57"/>
      <c r="S21" s="57"/>
      <c r="T21" s="58"/>
      <c r="U21" s="7"/>
      <c r="V21" s="7"/>
      <c r="W21" s="59"/>
      <c r="X21" s="7"/>
    </row>
    <row r="22" ht="15.75" customHeight="1">
      <c r="B22" s="21" t="s">
        <v>6</v>
      </c>
      <c r="C22" s="22" t="str">
        <f>IF(C20="", "", IFERROR(VLOOKUP(C20, 'Food Chart'!A:C, 3, FALSE), ""))</f>
        <v/>
      </c>
      <c r="D22" s="4" t="str">
        <f>IF(C20="", "", IFERROR(VLOOKUP(C20, 'Food Chart'!A:D, 4, FALSE), ""))</f>
        <v/>
      </c>
      <c r="E22" s="77" t="s">
        <v>36</v>
      </c>
      <c r="F22" s="78"/>
      <c r="P22" s="56"/>
      <c r="Q22" s="57"/>
      <c r="R22" s="57"/>
      <c r="S22" s="57"/>
      <c r="T22" s="58"/>
      <c r="U22" s="7"/>
      <c r="V22" s="7"/>
      <c r="W22" s="70"/>
      <c r="X22" s="71"/>
    </row>
    <row r="23" ht="15.75" customHeight="1">
      <c r="B23" s="21" t="s">
        <v>19</v>
      </c>
      <c r="C23" s="30"/>
      <c r="E23" s="79"/>
      <c r="F23" s="78"/>
      <c r="P23" s="56"/>
      <c r="Q23" s="57"/>
      <c r="R23" s="57"/>
      <c r="S23" s="57"/>
      <c r="T23" s="58"/>
      <c r="U23" s="7"/>
      <c r="V23" s="7"/>
      <c r="W23" s="70"/>
      <c r="X23" s="71"/>
    </row>
    <row r="24" ht="15.75" customHeight="1">
      <c r="B24" s="38" t="s">
        <v>21</v>
      </c>
      <c r="C24" s="39"/>
      <c r="E24" s="80"/>
      <c r="F24" s="78"/>
      <c r="K24" s="81"/>
      <c r="P24" s="56"/>
      <c r="Q24" s="57"/>
      <c r="R24" s="57"/>
      <c r="S24" s="57"/>
      <c r="T24" s="58"/>
      <c r="U24" s="7"/>
      <c r="V24" s="7"/>
      <c r="W24" s="70"/>
      <c r="X24" s="71"/>
    </row>
    <row r="25" ht="15.75" customHeight="1">
      <c r="B25" s="7"/>
      <c r="C25" s="61"/>
      <c r="E25" s="80"/>
      <c r="F25" s="78"/>
      <c r="P25" s="82"/>
      <c r="T25" s="7"/>
      <c r="U25" s="7"/>
      <c r="V25" s="7"/>
      <c r="W25" s="70"/>
      <c r="X25" s="71"/>
    </row>
    <row r="26" ht="15.75" customHeight="1">
      <c r="B26" s="8" t="s">
        <v>0</v>
      </c>
      <c r="C26" s="9"/>
      <c r="E26" s="83"/>
      <c r="F26" s="83"/>
      <c r="P26" s="82"/>
      <c r="T26" s="7"/>
      <c r="U26" s="7"/>
      <c r="V26" s="7"/>
      <c r="W26" s="59"/>
      <c r="X26" s="7"/>
    </row>
    <row r="27" ht="15.75" customHeight="1">
      <c r="B27" s="17" t="s">
        <v>4</v>
      </c>
      <c r="C27" s="18" t="str">
        <f>IF(C26="", "", IFERROR(VLOOKUP(C26, 'Food Chart'!A:B, 2, FALSE), ""))</f>
        <v/>
      </c>
      <c r="F27" s="76"/>
      <c r="P27" s="82"/>
      <c r="T27" s="7"/>
      <c r="U27" s="7"/>
      <c r="V27" s="7"/>
      <c r="W27" s="70"/>
      <c r="X27" s="71"/>
    </row>
    <row r="28" ht="15.75" customHeight="1">
      <c r="B28" s="21" t="s">
        <v>6</v>
      </c>
      <c r="C28" s="22" t="str">
        <f>IF(C26="", "", IFERROR(VLOOKUP(C26, 'Food Chart'!A:C, 3, FALSE), ""))</f>
        <v/>
      </c>
      <c r="D28" s="4" t="str">
        <f>IF(C26="", "", IFERROR(VLOOKUP(C26, 'Food Chart'!A:D, 4, FALSE), ""))</f>
        <v/>
      </c>
      <c r="F28" s="76"/>
      <c r="P28" s="82"/>
      <c r="T28" s="7"/>
      <c r="U28" s="7"/>
      <c r="V28" s="7"/>
      <c r="W28" s="70"/>
      <c r="X28" s="71"/>
    </row>
    <row r="29" ht="15.75" customHeight="1">
      <c r="B29" s="21" t="s">
        <v>19</v>
      </c>
      <c r="C29" s="30"/>
      <c r="D29" s="60"/>
      <c r="F29" s="76"/>
      <c r="P29" s="82"/>
      <c r="T29" s="7"/>
      <c r="U29" s="7"/>
      <c r="V29" s="7"/>
      <c r="W29" s="70"/>
      <c r="X29" s="71"/>
    </row>
    <row r="30" ht="15.75" customHeight="1">
      <c r="B30" s="38" t="s">
        <v>21</v>
      </c>
      <c r="C30" s="39"/>
      <c r="F30" s="76"/>
      <c r="P30" s="82"/>
      <c r="T30" s="7"/>
      <c r="U30" s="7"/>
      <c r="V30" s="7"/>
      <c r="W30" s="70"/>
      <c r="X30" s="71"/>
    </row>
    <row r="31" ht="15.75" customHeight="1">
      <c r="B31" s="7"/>
      <c r="C31" s="59"/>
      <c r="F31" s="76"/>
      <c r="P31" s="82"/>
      <c r="T31" s="7"/>
      <c r="U31" s="7"/>
      <c r="V31" s="7"/>
      <c r="W31" s="59"/>
      <c r="X31" s="7"/>
    </row>
    <row r="32" ht="15.75" customHeight="1">
      <c r="B32" s="8" t="s">
        <v>0</v>
      </c>
      <c r="C32" s="9"/>
      <c r="F32" s="76"/>
      <c r="P32" s="82"/>
      <c r="T32" s="7"/>
      <c r="U32" s="7"/>
      <c r="V32" s="7"/>
      <c r="W32" s="59"/>
      <c r="X32" s="7"/>
    </row>
    <row r="33" ht="15.75" customHeight="1">
      <c r="B33" s="17" t="s">
        <v>4</v>
      </c>
      <c r="C33" s="18" t="str">
        <f>IF(C32="", "", IFERROR(VLOOKUP(C32, 'Food Chart'!A:B, 2, FALSE), ""))</f>
        <v/>
      </c>
      <c r="F33" s="76"/>
      <c r="P33" s="82"/>
      <c r="T33" s="7"/>
      <c r="U33" s="7"/>
      <c r="V33" s="7"/>
      <c r="W33" s="59"/>
      <c r="X33" s="7"/>
    </row>
    <row r="34" ht="15.75" customHeight="1">
      <c r="B34" s="21" t="s">
        <v>6</v>
      </c>
      <c r="C34" s="22" t="str">
        <f>IF(C32="", "", IFERROR(VLOOKUP(C32, 'Food Chart'!A:C, 3, FALSE), ""))</f>
        <v/>
      </c>
      <c r="D34" s="4" t="str">
        <f>IF(C32="", "", IFERROR(VLOOKUP(C32, 'Food Chart'!A:D, 4, FALSE), ""))</f>
        <v/>
      </c>
      <c r="F34" s="76"/>
      <c r="P34" s="82"/>
      <c r="T34" s="7"/>
      <c r="U34" s="7"/>
      <c r="V34" s="7"/>
      <c r="W34" s="59"/>
      <c r="X34" s="7"/>
    </row>
    <row r="35" ht="15.75" customHeight="1">
      <c r="B35" s="21" t="s">
        <v>19</v>
      </c>
      <c r="C35" s="30"/>
      <c r="F35" s="76"/>
      <c r="P35" s="82"/>
      <c r="T35" s="7"/>
      <c r="U35" s="7"/>
      <c r="V35" s="7"/>
      <c r="W35" s="59"/>
      <c r="X35" s="7"/>
    </row>
    <row r="36" ht="15.75" customHeight="1">
      <c r="B36" s="38" t="s">
        <v>21</v>
      </c>
      <c r="C36" s="39"/>
      <c r="F36" s="76"/>
      <c r="P36" s="82"/>
      <c r="T36" s="7"/>
      <c r="U36" s="7"/>
      <c r="V36" s="7"/>
      <c r="W36" s="59"/>
      <c r="X36" s="7"/>
    </row>
    <row r="37" ht="15.75" customHeight="1">
      <c r="B37" s="7"/>
      <c r="C37" s="41"/>
      <c r="F37" s="76"/>
      <c r="P37" s="82"/>
      <c r="T37" s="7"/>
      <c r="U37" s="7"/>
      <c r="V37" s="7"/>
      <c r="W37" s="59"/>
      <c r="X37" s="7"/>
    </row>
    <row r="38" ht="15.75" customHeight="1">
      <c r="B38" s="8" t="s">
        <v>0</v>
      </c>
      <c r="C38" s="9"/>
      <c r="F38" s="76"/>
      <c r="P38" s="82"/>
      <c r="T38" s="7"/>
      <c r="U38" s="7"/>
      <c r="V38" s="7"/>
      <c r="W38" s="59"/>
      <c r="X38" s="7"/>
    </row>
    <row r="39" ht="15.75" customHeight="1">
      <c r="B39" s="17" t="s">
        <v>4</v>
      </c>
      <c r="C39" s="18" t="str">
        <f>IF(C38="", "", IFERROR(VLOOKUP(C38, 'Food Chart'!A:B, 2, FALSE), ""))</f>
        <v/>
      </c>
      <c r="F39" s="76"/>
      <c r="P39" s="82"/>
      <c r="T39" s="7"/>
      <c r="U39" s="7"/>
      <c r="V39" s="7"/>
      <c r="W39" s="59"/>
      <c r="X39" s="7"/>
    </row>
    <row r="40" ht="15.75" customHeight="1">
      <c r="B40" s="21" t="s">
        <v>6</v>
      </c>
      <c r="C40" s="22" t="str">
        <f>IF(C38="", "", IFERROR(VLOOKUP(C38, 'Food Chart'!A:C, 3, FALSE), ""))</f>
        <v/>
      </c>
      <c r="D40" s="4" t="str">
        <f>IF(C38="", "", IFERROR(VLOOKUP(C38, 'Food Chart'!A:D, 4, FALSE), ""))</f>
        <v/>
      </c>
      <c r="F40" s="76"/>
      <c r="P40" s="82"/>
      <c r="T40" s="7"/>
      <c r="U40" s="7"/>
      <c r="V40" s="7"/>
      <c r="W40" s="59"/>
      <c r="X40" s="7"/>
    </row>
    <row r="41" ht="15.75" customHeight="1">
      <c r="B41" s="21" t="s">
        <v>19</v>
      </c>
      <c r="C41" s="30"/>
      <c r="F41" s="76"/>
      <c r="P41" s="82"/>
      <c r="T41" s="7"/>
      <c r="U41" s="7"/>
      <c r="V41" s="7"/>
      <c r="W41" s="59"/>
      <c r="X41" s="7"/>
    </row>
    <row r="42" ht="15.75" customHeight="1">
      <c r="B42" s="38" t="s">
        <v>21</v>
      </c>
      <c r="C42" s="39"/>
      <c r="F42" s="76"/>
      <c r="P42" s="82"/>
      <c r="T42" s="7"/>
      <c r="U42" s="7"/>
      <c r="V42" s="7"/>
      <c r="W42" s="59"/>
      <c r="X42" s="7"/>
    </row>
    <row r="43" ht="15.75" customHeight="1">
      <c r="B43" s="7"/>
      <c r="C43" s="61"/>
      <c r="F43" s="76"/>
      <c r="P43" s="82"/>
      <c r="T43" s="7"/>
      <c r="U43" s="7"/>
      <c r="V43" s="7"/>
      <c r="W43" s="59"/>
      <c r="X43" s="7"/>
    </row>
    <row r="44" ht="15.75" customHeight="1">
      <c r="B44" s="8" t="s">
        <v>0</v>
      </c>
      <c r="C44" s="9"/>
      <c r="F44" s="76"/>
      <c r="P44" s="82"/>
      <c r="T44" s="7"/>
      <c r="U44" s="7"/>
      <c r="V44" s="7"/>
      <c r="W44" s="59"/>
      <c r="X44" s="7"/>
    </row>
    <row r="45" ht="15.75" customHeight="1">
      <c r="B45" s="17" t="s">
        <v>4</v>
      </c>
      <c r="C45" s="18" t="str">
        <f>IF(C44="", "", IFERROR(VLOOKUP(C44, 'Food Chart'!A:B, 2, FALSE), ""))</f>
        <v/>
      </c>
      <c r="F45" s="76"/>
      <c r="P45" s="82"/>
      <c r="T45" s="7"/>
      <c r="U45" s="7"/>
      <c r="V45" s="7"/>
      <c r="W45" s="59"/>
      <c r="X45" s="7"/>
    </row>
    <row r="46" ht="15.75" customHeight="1">
      <c r="B46" s="21" t="s">
        <v>6</v>
      </c>
      <c r="C46" s="22" t="str">
        <f>IF(C44="", "", IFERROR(VLOOKUP(C44, 'Food Chart'!A:C, 3, FALSE), ""))</f>
        <v/>
      </c>
      <c r="D46" s="65" t="str">
        <f>IF(C44="", "", IFERROR(VLOOKUP(C44, 'Food Chart'!A:D, 4, FALSE), ""))</f>
        <v/>
      </c>
      <c r="F46" s="76"/>
      <c r="P46" s="82"/>
      <c r="T46" s="7"/>
      <c r="U46" s="7"/>
      <c r="V46" s="7"/>
      <c r="W46" s="59"/>
      <c r="X46" s="7"/>
    </row>
    <row r="47" ht="15.75" customHeight="1">
      <c r="B47" s="21" t="s">
        <v>19</v>
      </c>
      <c r="C47" s="30"/>
      <c r="F47" s="76"/>
      <c r="P47" s="82"/>
      <c r="T47" s="7"/>
      <c r="U47" s="7"/>
      <c r="V47" s="7"/>
      <c r="W47" s="59"/>
      <c r="X47" s="7"/>
    </row>
    <row r="48" ht="15.75" customHeight="1">
      <c r="B48" s="38" t="s">
        <v>21</v>
      </c>
      <c r="C48" s="39"/>
      <c r="F48" s="76"/>
      <c r="P48" s="82"/>
      <c r="T48" s="7"/>
      <c r="U48" s="7"/>
      <c r="V48" s="7"/>
      <c r="W48" s="59"/>
      <c r="X48" s="7"/>
    </row>
    <row r="49" ht="15.75" customHeight="1">
      <c r="B49" s="7"/>
      <c r="C49" s="72"/>
      <c r="F49" s="76"/>
      <c r="P49" s="82"/>
      <c r="T49" s="7"/>
      <c r="U49" s="7"/>
      <c r="V49" s="7"/>
      <c r="W49" s="59"/>
      <c r="X49" s="7"/>
    </row>
    <row r="50" ht="15.75" customHeight="1">
      <c r="B50" s="8" t="s">
        <v>0</v>
      </c>
      <c r="C50" s="9"/>
      <c r="F50" s="76"/>
      <c r="P50" s="82"/>
      <c r="T50" s="7"/>
      <c r="U50" s="7"/>
      <c r="V50" s="7"/>
      <c r="W50" s="59"/>
      <c r="X50" s="7"/>
    </row>
    <row r="51" ht="15.75" customHeight="1">
      <c r="B51" s="17" t="s">
        <v>4</v>
      </c>
      <c r="C51" s="18" t="str">
        <f>IF(C50="", "", IFERROR(VLOOKUP(C50, 'Food Chart'!A:B, 2, FALSE), ""))</f>
        <v/>
      </c>
      <c r="F51" s="76"/>
      <c r="P51" s="82"/>
      <c r="T51" s="7"/>
      <c r="U51" s="7"/>
      <c r="V51" s="7"/>
      <c r="W51" s="59"/>
      <c r="X51" s="7"/>
    </row>
    <row r="52" ht="15.75" customHeight="1">
      <c r="B52" s="21" t="s">
        <v>6</v>
      </c>
      <c r="C52" s="22" t="str">
        <f>IF(C50="", "", IFERROR(VLOOKUP(C50, 'Food Chart'!A:C, 3, FALSE), ""))</f>
        <v/>
      </c>
      <c r="D52" s="65" t="str">
        <f>IF(C50="", "", IFERROR(VLOOKUP(C50, 'Food Chart'!A:D, 4, FALSE), ""))</f>
        <v/>
      </c>
      <c r="F52" s="76"/>
      <c r="P52" s="82"/>
      <c r="T52" s="7"/>
      <c r="U52" s="7"/>
      <c r="V52" s="7"/>
      <c r="W52" s="59"/>
      <c r="X52" s="7"/>
    </row>
    <row r="53" ht="15.75" customHeight="1">
      <c r="B53" s="21" t="s">
        <v>19</v>
      </c>
      <c r="C53" s="30"/>
      <c r="F53" s="76"/>
      <c r="P53" s="82"/>
      <c r="T53" s="7"/>
      <c r="U53" s="7"/>
      <c r="V53" s="7"/>
      <c r="W53" s="59"/>
      <c r="X53" s="7"/>
    </row>
    <row r="54" ht="15.75" customHeight="1">
      <c r="B54" s="38" t="s">
        <v>21</v>
      </c>
      <c r="C54" s="39"/>
      <c r="F54" s="76"/>
      <c r="P54" s="82"/>
      <c r="T54" s="7"/>
      <c r="U54" s="7"/>
      <c r="V54" s="7"/>
      <c r="W54" s="59"/>
      <c r="X54" s="7"/>
    </row>
    <row r="55" ht="15.75" customHeight="1">
      <c r="B55" s="7"/>
      <c r="C55" s="61"/>
      <c r="F55" s="76"/>
      <c r="P55" s="82"/>
      <c r="T55" s="7"/>
      <c r="U55" s="7"/>
      <c r="V55" s="7"/>
      <c r="W55" s="59"/>
      <c r="X55" s="7"/>
    </row>
    <row r="56" ht="15.75" customHeight="1">
      <c r="B56" s="8" t="s">
        <v>0</v>
      </c>
      <c r="C56" s="9"/>
      <c r="F56" s="76"/>
      <c r="P56" s="82"/>
      <c r="T56" s="7"/>
      <c r="U56" s="7"/>
      <c r="V56" s="7"/>
      <c r="W56" s="59"/>
      <c r="X56" s="7"/>
    </row>
    <row r="57" ht="15.75" customHeight="1">
      <c r="B57" s="17" t="s">
        <v>4</v>
      </c>
      <c r="C57" s="18" t="str">
        <f>IF(C56="", "", IFERROR(VLOOKUP(C56, 'Food Chart'!A:B, 2, FALSE), ""))</f>
        <v/>
      </c>
      <c r="F57" s="76"/>
      <c r="P57" s="82"/>
      <c r="T57" s="7"/>
      <c r="U57" s="7"/>
      <c r="V57" s="7"/>
      <c r="W57" s="59"/>
      <c r="X57" s="7"/>
    </row>
    <row r="58" ht="15.75" customHeight="1">
      <c r="B58" s="21" t="s">
        <v>6</v>
      </c>
      <c r="C58" s="22" t="str">
        <f>IF(C56="", "", IFERROR(VLOOKUP(C56, 'Food Chart'!A:C, 3, FALSE), ""))</f>
        <v/>
      </c>
      <c r="D58" s="65" t="str">
        <f>IF(C56="", "", IFERROR(VLOOKUP(C56, 'Food Chart'!A:D, 4, FALSE), ""))</f>
        <v/>
      </c>
      <c r="F58" s="76"/>
      <c r="P58" s="82"/>
      <c r="T58" s="7"/>
      <c r="U58" s="7"/>
      <c r="V58" s="7"/>
      <c r="W58" s="59"/>
      <c r="X58" s="7"/>
    </row>
    <row r="59" ht="15.75" customHeight="1">
      <c r="B59" s="21" t="s">
        <v>19</v>
      </c>
      <c r="C59" s="30"/>
      <c r="F59" s="76"/>
      <c r="P59" s="82"/>
      <c r="T59" s="7"/>
      <c r="U59" s="7"/>
      <c r="V59" s="7"/>
      <c r="W59" s="59"/>
      <c r="X59" s="7"/>
    </row>
    <row r="60" ht="15.75" customHeight="1">
      <c r="B60" s="38" t="s">
        <v>21</v>
      </c>
      <c r="C60" s="39"/>
      <c r="F60" s="76"/>
      <c r="P60" s="82"/>
      <c r="T60" s="7"/>
      <c r="U60" s="7"/>
      <c r="V60" s="7"/>
      <c r="W60" s="59"/>
      <c r="X60" s="7"/>
    </row>
    <row r="61" ht="15.75" customHeight="1">
      <c r="B61" s="7"/>
      <c r="C61" s="59"/>
      <c r="F61" s="76"/>
      <c r="P61" s="82"/>
      <c r="T61" s="7"/>
      <c r="U61" s="7"/>
      <c r="V61" s="7"/>
      <c r="W61" s="59"/>
      <c r="X61" s="7"/>
    </row>
    <row r="62" ht="15.75" customHeight="1">
      <c r="B62" s="8" t="s">
        <v>0</v>
      </c>
      <c r="C62" s="9"/>
      <c r="F62" s="76"/>
      <c r="P62" s="82"/>
      <c r="T62" s="7"/>
      <c r="U62" s="7"/>
      <c r="V62" s="7"/>
      <c r="W62" s="59"/>
      <c r="X62" s="7"/>
    </row>
    <row r="63" ht="15.75" customHeight="1">
      <c r="B63" s="17" t="s">
        <v>4</v>
      </c>
      <c r="C63" s="18" t="str">
        <f>IF(C62="", "", IFERROR(VLOOKUP(C62, 'Food Chart'!A:B, 2, FALSE), ""))</f>
        <v/>
      </c>
      <c r="F63" s="76"/>
      <c r="P63" s="82"/>
      <c r="T63" s="7"/>
      <c r="U63" s="7"/>
      <c r="V63" s="7"/>
      <c r="W63" s="59"/>
      <c r="X63" s="7"/>
    </row>
    <row r="64" ht="15.75" customHeight="1">
      <c r="B64" s="21" t="s">
        <v>6</v>
      </c>
      <c r="C64" s="22" t="str">
        <f>IF(C62="", "", IFERROR(VLOOKUP(C62, 'Food Chart'!A:C, 3, FALSE), ""))</f>
        <v/>
      </c>
      <c r="D64" s="65" t="str">
        <f>IF(C62="", "", IFERROR(VLOOKUP(C62, 'Food Chart'!A:D, 4, FALSE), ""))</f>
        <v/>
      </c>
      <c r="F64" s="76"/>
      <c r="P64" s="82"/>
      <c r="T64" s="7"/>
      <c r="U64" s="7"/>
      <c r="V64" s="7"/>
      <c r="W64" s="59"/>
      <c r="X64" s="7"/>
    </row>
    <row r="65" ht="15.75" customHeight="1">
      <c r="B65" s="21" t="s">
        <v>19</v>
      </c>
      <c r="C65" s="30"/>
      <c r="F65" s="76"/>
      <c r="P65" s="82"/>
      <c r="T65" s="7"/>
      <c r="U65" s="7"/>
      <c r="V65" s="7"/>
      <c r="W65" s="59"/>
      <c r="X65" s="7"/>
    </row>
    <row r="66" ht="15.75" customHeight="1">
      <c r="B66" s="38" t="s">
        <v>21</v>
      </c>
      <c r="C66" s="39"/>
      <c r="F66" s="76"/>
      <c r="P66" s="82"/>
      <c r="T66" s="7"/>
      <c r="U66" s="7"/>
      <c r="V66" s="7"/>
      <c r="W66" s="59"/>
      <c r="X66" s="7"/>
    </row>
    <row r="67" ht="15.75" customHeight="1">
      <c r="B67" s="7"/>
      <c r="C67" s="41"/>
      <c r="F67" s="76"/>
      <c r="P67" s="82"/>
      <c r="T67" s="7"/>
      <c r="U67" s="7"/>
      <c r="V67" s="7"/>
      <c r="W67" s="59"/>
      <c r="X67" s="7"/>
    </row>
    <row r="68" ht="15.75" customHeight="1">
      <c r="B68" s="8" t="s">
        <v>0</v>
      </c>
      <c r="C68" s="9"/>
      <c r="F68" s="76"/>
      <c r="P68" s="82"/>
      <c r="T68" s="7"/>
      <c r="U68" s="7"/>
      <c r="V68" s="7"/>
      <c r="W68" s="59"/>
      <c r="X68" s="7"/>
    </row>
    <row r="69" ht="15.75" customHeight="1">
      <c r="B69" s="17" t="s">
        <v>4</v>
      </c>
      <c r="C69" s="18" t="str">
        <f>IF(C68="", "", IFERROR(VLOOKUP(C68, 'Food Chart'!A:B, 2, FALSE), ""))</f>
        <v/>
      </c>
      <c r="F69" s="76"/>
      <c r="P69" s="82"/>
      <c r="T69" s="7"/>
      <c r="U69" s="7"/>
      <c r="V69" s="7"/>
      <c r="W69" s="59"/>
      <c r="X69" s="7"/>
    </row>
    <row r="70" ht="15.75" customHeight="1">
      <c r="B70" s="21" t="s">
        <v>6</v>
      </c>
      <c r="C70" s="22" t="str">
        <f>IF(C68="", "", IFERROR(VLOOKUP(C68, 'Food Chart'!A:C, 3, FALSE), ""))</f>
        <v/>
      </c>
      <c r="D70" s="65" t="str">
        <f>IF(C68="", "", IFERROR(VLOOKUP(C68, 'Food Chart'!A:D, 4, FALSE), ""))</f>
        <v/>
      </c>
      <c r="F70" s="76"/>
      <c r="P70" s="82"/>
      <c r="T70" s="7"/>
      <c r="U70" s="7"/>
      <c r="V70" s="7"/>
      <c r="W70" s="59"/>
      <c r="X70" s="7"/>
    </row>
    <row r="71" ht="15.75" customHeight="1">
      <c r="B71" s="21" t="s">
        <v>19</v>
      </c>
      <c r="C71" s="30"/>
      <c r="F71" s="76"/>
      <c r="P71" s="82"/>
      <c r="T71" s="7"/>
      <c r="U71" s="7"/>
      <c r="V71" s="7"/>
      <c r="W71" s="59"/>
      <c r="X71" s="7"/>
    </row>
    <row r="72" ht="15.75" customHeight="1">
      <c r="B72" s="38" t="s">
        <v>21</v>
      </c>
      <c r="C72" s="39"/>
      <c r="F72" s="76"/>
      <c r="P72" s="82"/>
      <c r="T72" s="7"/>
      <c r="U72" s="7"/>
      <c r="V72" s="7"/>
      <c r="W72" s="59"/>
      <c r="X72" s="7"/>
    </row>
    <row r="73" ht="15.75" customHeight="1">
      <c r="B73" s="7"/>
      <c r="C73" s="61"/>
      <c r="F73" s="76"/>
      <c r="P73" s="82"/>
      <c r="T73" s="7"/>
      <c r="U73" s="7"/>
      <c r="V73" s="7"/>
      <c r="W73" s="59"/>
      <c r="X73" s="7"/>
    </row>
    <row r="74" ht="15.75" customHeight="1">
      <c r="B74" s="8" t="s">
        <v>0</v>
      </c>
      <c r="C74" s="9"/>
      <c r="F74" s="76"/>
      <c r="P74" s="82"/>
      <c r="T74" s="7"/>
      <c r="U74" s="7"/>
      <c r="V74" s="7"/>
      <c r="W74" s="59"/>
      <c r="X74" s="7"/>
    </row>
    <row r="75" ht="15.75" customHeight="1">
      <c r="B75" s="17" t="s">
        <v>4</v>
      </c>
      <c r="C75" s="18" t="str">
        <f>IF(C74="", "", IFERROR(VLOOKUP(C74, 'Food Chart'!A:B, 2, FALSE), ""))</f>
        <v/>
      </c>
      <c r="F75" s="76"/>
      <c r="P75" s="82"/>
      <c r="T75" s="7"/>
      <c r="U75" s="7"/>
      <c r="V75" s="7"/>
      <c r="W75" s="59"/>
      <c r="X75" s="7"/>
    </row>
    <row r="76" ht="15.75" customHeight="1">
      <c r="B76" s="21" t="s">
        <v>6</v>
      </c>
      <c r="C76" s="22" t="str">
        <f>IF(C74="", "", IFERROR(VLOOKUP(C74, 'Food Chart'!A:C, 3, FALSE), ""))</f>
        <v/>
      </c>
      <c r="D76" s="65" t="str">
        <f>IF(C74="", "", IFERROR(VLOOKUP(C74, 'Food Chart'!A:D, 4, FALSE), ""))</f>
        <v/>
      </c>
      <c r="F76" s="76"/>
      <c r="P76" s="82"/>
      <c r="T76" s="7"/>
      <c r="U76" s="7"/>
      <c r="V76" s="7"/>
      <c r="W76" s="59"/>
      <c r="X76" s="7"/>
    </row>
    <row r="77" ht="15.75" customHeight="1">
      <c r="B77" s="21" t="s">
        <v>19</v>
      </c>
      <c r="C77" s="30"/>
      <c r="F77" s="76"/>
      <c r="P77" s="82"/>
      <c r="T77" s="7"/>
      <c r="U77" s="7"/>
      <c r="V77" s="7"/>
      <c r="W77" s="59"/>
      <c r="X77" s="7"/>
    </row>
    <row r="78" ht="15.75" customHeight="1">
      <c r="B78" s="38" t="s">
        <v>21</v>
      </c>
      <c r="C78" s="39"/>
      <c r="F78" s="76"/>
      <c r="P78" s="82"/>
      <c r="T78" s="7"/>
      <c r="U78" s="7"/>
      <c r="V78" s="7"/>
      <c r="W78" s="59"/>
      <c r="X78" s="7"/>
    </row>
    <row r="79" ht="15.75" customHeight="1">
      <c r="B79" s="7"/>
      <c r="C79" s="72"/>
      <c r="F79" s="76"/>
      <c r="P79" s="82"/>
      <c r="T79" s="7"/>
      <c r="U79" s="7"/>
      <c r="V79" s="7"/>
      <c r="W79" s="59"/>
      <c r="X79" s="7"/>
    </row>
    <row r="80" ht="15.75" customHeight="1">
      <c r="B80" s="8" t="s">
        <v>0</v>
      </c>
      <c r="C80" s="9"/>
      <c r="F80" s="76"/>
      <c r="P80" s="82"/>
      <c r="T80" s="7"/>
      <c r="U80" s="7"/>
      <c r="V80" s="7"/>
      <c r="W80" s="59"/>
      <c r="X80" s="7"/>
    </row>
    <row r="81">
      <c r="B81" s="17" t="s">
        <v>4</v>
      </c>
      <c r="C81" s="18" t="str">
        <f>IF(C80="", "", IFERROR(VLOOKUP(C80, 'Food Chart'!A:B, 2, FALSE), ""))</f>
        <v/>
      </c>
      <c r="F81" s="76"/>
      <c r="P81" s="82"/>
      <c r="T81" s="7"/>
      <c r="U81" s="7"/>
      <c r="V81" s="7"/>
      <c r="W81" s="59"/>
      <c r="X81" s="7"/>
    </row>
    <row r="82">
      <c r="B82" s="21" t="s">
        <v>6</v>
      </c>
      <c r="C82" s="22" t="str">
        <f>IF(C80="", "", IFERROR(VLOOKUP(C80, 'Food Chart'!A:C, 3, FALSE), ""))</f>
        <v/>
      </c>
      <c r="D82" s="65" t="str">
        <f>IF(C80="", "", IFERROR(VLOOKUP(C80, 'Food Chart'!A:D, 4, FALSE), ""))</f>
        <v/>
      </c>
      <c r="F82" s="76"/>
      <c r="P82" s="82"/>
      <c r="T82" s="7"/>
      <c r="U82" s="7"/>
      <c r="V82" s="7"/>
      <c r="W82" s="59"/>
      <c r="X82" s="7"/>
    </row>
    <row r="83">
      <c r="B83" s="21" t="s">
        <v>19</v>
      </c>
      <c r="C83" s="30"/>
      <c r="F83" s="76"/>
      <c r="P83" s="82"/>
      <c r="T83" s="7"/>
      <c r="U83" s="7"/>
      <c r="V83" s="7"/>
      <c r="W83" s="59"/>
      <c r="X83" s="7"/>
    </row>
    <row r="84">
      <c r="B84" s="38" t="s">
        <v>21</v>
      </c>
      <c r="C84" s="39"/>
      <c r="F84" s="76"/>
      <c r="P84" s="82"/>
      <c r="T84" s="7"/>
      <c r="U84" s="7"/>
      <c r="V84" s="7"/>
      <c r="W84" s="59"/>
      <c r="X84" s="7"/>
    </row>
    <row r="85">
      <c r="B85" s="7"/>
      <c r="C85" s="61"/>
      <c r="F85" s="76"/>
      <c r="P85" s="82"/>
      <c r="T85" s="7"/>
      <c r="U85" s="7"/>
      <c r="V85" s="7"/>
      <c r="W85" s="59"/>
      <c r="X85" s="7"/>
    </row>
    <row r="86">
      <c r="B86" s="8" t="s">
        <v>0</v>
      </c>
      <c r="C86" s="9"/>
      <c r="F86" s="76"/>
      <c r="P86" s="82"/>
      <c r="T86" s="7"/>
      <c r="U86" s="7"/>
      <c r="V86" s="7"/>
      <c r="W86" s="59"/>
      <c r="X86" s="7"/>
    </row>
    <row r="87">
      <c r="B87" s="17" t="s">
        <v>4</v>
      </c>
      <c r="C87" s="18" t="str">
        <f>IF(C86="", "", IFERROR(VLOOKUP(C86, 'Food Chart'!A:B, 2, FALSE), ""))</f>
        <v/>
      </c>
      <c r="F87" s="76"/>
      <c r="P87" s="82"/>
      <c r="T87" s="7"/>
      <c r="U87" s="7"/>
      <c r="V87" s="7"/>
      <c r="W87" s="59"/>
      <c r="X87" s="7"/>
    </row>
    <row r="88">
      <c r="B88" s="21" t="s">
        <v>6</v>
      </c>
      <c r="C88" s="22" t="str">
        <f>IF(C86="", "", IFERROR(VLOOKUP(C86, 'Food Chart'!A:C, 3, FALSE), ""))</f>
        <v/>
      </c>
      <c r="D88" s="65" t="str">
        <f>IF(C86="", "", IFERROR(VLOOKUP(C86, 'Food Chart'!A:D, 4, FALSE), ""))</f>
        <v/>
      </c>
      <c r="F88" s="76"/>
      <c r="P88" s="82"/>
      <c r="T88" s="7"/>
      <c r="U88" s="7"/>
      <c r="V88" s="7"/>
      <c r="W88" s="59"/>
      <c r="X88" s="7"/>
    </row>
    <row r="89">
      <c r="B89" s="21" t="s">
        <v>19</v>
      </c>
      <c r="C89" s="30"/>
      <c r="F89" s="76"/>
      <c r="P89" s="82"/>
      <c r="T89" s="7"/>
      <c r="U89" s="7"/>
      <c r="V89" s="7"/>
      <c r="W89" s="59"/>
      <c r="X89" s="7"/>
    </row>
    <row r="90">
      <c r="B90" s="38" t="s">
        <v>21</v>
      </c>
      <c r="C90" s="39"/>
      <c r="F90" s="76"/>
      <c r="P90" s="82"/>
      <c r="T90" s="7"/>
      <c r="U90" s="7"/>
      <c r="V90" s="7"/>
      <c r="W90" s="59"/>
      <c r="X90" s="7"/>
    </row>
    <row r="91">
      <c r="B91" s="7"/>
      <c r="C91" s="59"/>
      <c r="F91" s="76"/>
      <c r="P91" s="82"/>
      <c r="T91" s="7"/>
      <c r="U91" s="7"/>
      <c r="V91" s="7"/>
      <c r="W91" s="59"/>
      <c r="X91" s="7"/>
    </row>
  </sheetData>
  <mergeCells count="8">
    <mergeCell ref="I2:M2"/>
    <mergeCell ref="P2:W2"/>
    <mergeCell ref="E13:E14"/>
    <mergeCell ref="F13:F14"/>
    <mergeCell ref="E22:F22"/>
    <mergeCell ref="E23:F23"/>
    <mergeCell ref="E24:F24"/>
    <mergeCell ref="E25:F25"/>
  </mergeCells>
  <dataValidations>
    <dataValidation type="list" allowBlank="1" sqref="C2 C8 C14 C20 C26 C32 C38 C44 C50 C56 C62 C68 C74 C80 C86">
      <formula1>'Food Chart'!$A$2:$A$1000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16.13"/>
    <col customWidth="1" min="3" max="3" width="32.0"/>
    <col customWidth="1" min="4" max="4" width="5.13"/>
    <col customWidth="1" min="5" max="5" width="30.75"/>
    <col customWidth="1" min="6" max="6" width="9.25"/>
    <col customWidth="1" min="7" max="8" width="5.13"/>
    <col customWidth="1" min="9" max="9" width="15.13"/>
    <col customWidth="1" min="10" max="10" width="17.88"/>
    <col customWidth="1" min="11" max="11" width="6.13"/>
    <col customWidth="1" min="12" max="12" width="6.63"/>
    <col customWidth="1" min="13" max="13" width="7.13"/>
    <col customWidth="1" min="14" max="15" width="2.75"/>
    <col customWidth="1" min="16" max="16" width="12.38"/>
    <col customWidth="1" min="17" max="17" width="11.13"/>
    <col customWidth="1" min="18" max="18" width="14.75"/>
    <col customWidth="1" min="19" max="19" width="12.5"/>
    <col customWidth="1" min="20" max="20" width="9.75"/>
    <col customWidth="1" min="21" max="21" width="2.75"/>
    <col customWidth="1" min="22" max="22" width="13.75"/>
    <col customWidth="1" min="23" max="23" width="4.88"/>
    <col customWidth="1" min="24" max="24" width="2.75"/>
  </cols>
  <sheetData>
    <row r="1" ht="7.5" customHeight="1">
      <c r="A1" s="1"/>
      <c r="B1" s="2"/>
      <c r="C1" s="3"/>
      <c r="D1" s="4"/>
      <c r="E1" s="4"/>
      <c r="F1" s="5"/>
      <c r="G1" s="4"/>
      <c r="H1" s="4"/>
      <c r="I1" s="4"/>
      <c r="J1" s="4"/>
      <c r="K1" s="4"/>
      <c r="L1" s="4"/>
      <c r="M1" s="4"/>
      <c r="N1" s="4"/>
      <c r="O1" s="4"/>
      <c r="P1" s="6"/>
      <c r="Q1" s="4"/>
      <c r="R1" s="4"/>
      <c r="S1" s="4"/>
      <c r="T1" s="2"/>
      <c r="U1" s="2"/>
      <c r="V1" s="2"/>
      <c r="W1" s="3"/>
      <c r="X1" s="7"/>
    </row>
    <row r="2" ht="15.75" customHeight="1">
      <c r="A2" s="1"/>
      <c r="B2" s="8" t="s">
        <v>0</v>
      </c>
      <c r="C2" s="9"/>
      <c r="D2" s="10"/>
      <c r="E2" s="11" t="s">
        <v>37</v>
      </c>
      <c r="F2" s="12">
        <v>20.8</v>
      </c>
      <c r="G2" s="4"/>
      <c r="H2" s="4"/>
      <c r="I2" s="13" t="s">
        <v>2</v>
      </c>
      <c r="J2" s="14"/>
      <c r="K2" s="14"/>
      <c r="L2" s="14"/>
      <c r="M2" s="15"/>
      <c r="N2" s="4"/>
      <c r="O2" s="4"/>
      <c r="P2" s="16" t="s">
        <v>3</v>
      </c>
      <c r="Q2" s="14"/>
      <c r="R2" s="14"/>
      <c r="S2" s="14"/>
      <c r="T2" s="14"/>
      <c r="U2" s="14"/>
      <c r="V2" s="14"/>
      <c r="W2" s="15"/>
      <c r="X2" s="7"/>
    </row>
    <row r="3" ht="15.75" customHeight="1">
      <c r="A3" s="1"/>
      <c r="B3" s="17" t="s">
        <v>4</v>
      </c>
      <c r="C3" s="18" t="str">
        <f>IF(C2="", "", IFERROR(VLOOKUP(C2, 'Food Chart'!A:B, 2, FALSE), ""))</f>
        <v/>
      </c>
      <c r="D3" s="10"/>
      <c r="E3" s="19" t="s">
        <v>38</v>
      </c>
      <c r="F3" s="20">
        <v>6.2</v>
      </c>
      <c r="G3" s="4"/>
      <c r="H3" s="4"/>
      <c r="I3" s="4"/>
      <c r="J3" s="4"/>
      <c r="K3" s="4"/>
      <c r="L3" s="4"/>
      <c r="M3" s="4"/>
      <c r="N3" s="4"/>
      <c r="O3" s="4"/>
      <c r="P3" s="6"/>
      <c r="Q3" s="4"/>
      <c r="R3" s="4"/>
      <c r="S3" s="4"/>
      <c r="T3" s="2"/>
      <c r="U3" s="2"/>
      <c r="V3" s="2"/>
      <c r="W3" s="3"/>
      <c r="X3" s="7"/>
    </row>
    <row r="4" ht="15.75" customHeight="1">
      <c r="A4" s="1"/>
      <c r="B4" s="21" t="s">
        <v>6</v>
      </c>
      <c r="C4" s="22" t="str">
        <f>IF(C2="", "", IFERROR(VLOOKUP(C2, 'Food Chart'!A:C, 3, FALSE), ""))</f>
        <v/>
      </c>
      <c r="D4" s="4" t="str">
        <f>IF(C2="", "", IFERROR(VLOOKUP(C2, 'Food Chart'!A:D, 4, FALSE), ""))</f>
        <v/>
      </c>
      <c r="E4" s="23" t="s">
        <v>39</v>
      </c>
      <c r="F4" s="24">
        <v>8.5</v>
      </c>
      <c r="G4" s="4"/>
      <c r="H4" s="4"/>
      <c r="I4" s="25" t="s">
        <v>8</v>
      </c>
      <c r="J4" s="25" t="s">
        <v>9</v>
      </c>
      <c r="K4" s="25" t="s">
        <v>10</v>
      </c>
      <c r="L4" s="25" t="s">
        <v>11</v>
      </c>
      <c r="M4" s="25" t="s">
        <v>12</v>
      </c>
      <c r="N4" s="4"/>
      <c r="O4" s="4"/>
      <c r="P4" s="26" t="s">
        <v>13</v>
      </c>
      <c r="Q4" s="25" t="s">
        <v>14</v>
      </c>
      <c r="R4" s="25" t="s">
        <v>15</v>
      </c>
      <c r="S4" s="25" t="s">
        <v>16</v>
      </c>
      <c r="T4" s="27" t="s">
        <v>17</v>
      </c>
      <c r="U4" s="2"/>
      <c r="V4" s="28" t="s">
        <v>18</v>
      </c>
      <c r="W4" s="29"/>
      <c r="X4" s="7"/>
    </row>
    <row r="5" ht="15.75" customHeight="1">
      <c r="A5" s="4"/>
      <c r="B5" s="21" t="s">
        <v>19</v>
      </c>
      <c r="C5" s="30"/>
      <c r="D5" s="4"/>
      <c r="E5" s="2"/>
      <c r="F5" s="31"/>
      <c r="G5" s="4"/>
      <c r="H5" s="4"/>
      <c r="I5" s="32"/>
      <c r="J5" s="33"/>
      <c r="K5" s="34"/>
      <c r="L5" s="33"/>
      <c r="M5" s="33"/>
      <c r="N5" s="4"/>
      <c r="O5" s="4"/>
      <c r="P5" s="35"/>
      <c r="Q5" s="33"/>
      <c r="R5" s="33"/>
      <c r="S5" s="33"/>
      <c r="T5" s="36"/>
      <c r="U5" s="2"/>
      <c r="V5" s="28" t="s">
        <v>20</v>
      </c>
      <c r="W5" s="37"/>
      <c r="X5" s="7"/>
    </row>
    <row r="6" ht="15.75" customHeight="1">
      <c r="A6" s="10"/>
      <c r="B6" s="38" t="s">
        <v>21</v>
      </c>
      <c r="C6" s="39"/>
      <c r="D6" s="4"/>
      <c r="E6" s="11" t="s">
        <v>40</v>
      </c>
      <c r="F6" s="40">
        <v>10.4</v>
      </c>
      <c r="G6" s="10" t="s">
        <v>41</v>
      </c>
      <c r="H6" s="4"/>
      <c r="I6" s="32"/>
      <c r="J6" s="33"/>
      <c r="K6" s="34"/>
      <c r="L6" s="33"/>
      <c r="M6" s="33"/>
      <c r="N6" s="4"/>
      <c r="O6" s="4"/>
      <c r="P6" s="35"/>
      <c r="Q6" s="33"/>
      <c r="R6" s="33"/>
      <c r="S6" s="33"/>
      <c r="T6" s="36"/>
      <c r="U6" s="2"/>
      <c r="V6" s="28" t="s">
        <v>23</v>
      </c>
      <c r="W6" s="37"/>
      <c r="X6" s="7"/>
    </row>
    <row r="7" ht="15.75" customHeight="1">
      <c r="A7" s="10"/>
      <c r="B7" s="7"/>
      <c r="C7" s="41"/>
      <c r="D7" s="10"/>
      <c r="E7" s="23" t="s">
        <v>42</v>
      </c>
      <c r="F7" s="42"/>
      <c r="G7" s="4"/>
      <c r="H7" s="4"/>
      <c r="I7" s="32"/>
      <c r="J7" s="33"/>
      <c r="K7" s="34"/>
      <c r="L7" s="33"/>
      <c r="M7" s="33"/>
      <c r="N7" s="4"/>
      <c r="O7" s="4"/>
      <c r="P7" s="35"/>
      <c r="Q7" s="33"/>
      <c r="R7" s="33"/>
      <c r="S7" s="33"/>
      <c r="T7" s="36"/>
      <c r="U7" s="2"/>
      <c r="V7" s="28" t="s">
        <v>25</v>
      </c>
      <c r="W7" s="43"/>
      <c r="X7" s="7"/>
    </row>
    <row r="8" ht="15.75" customHeight="1">
      <c r="A8" s="4"/>
      <c r="B8" s="8" t="s">
        <v>0</v>
      </c>
      <c r="C8" s="9"/>
      <c r="D8" s="10"/>
      <c r="E8" s="44" t="s">
        <v>43</v>
      </c>
      <c r="F8" s="42"/>
      <c r="G8" s="4"/>
      <c r="H8" s="4"/>
      <c r="I8" s="32"/>
      <c r="J8" s="33"/>
      <c r="K8" s="34"/>
      <c r="L8" s="33"/>
      <c r="M8" s="33"/>
      <c r="N8" s="4"/>
      <c r="O8" s="4"/>
      <c r="P8" s="35"/>
      <c r="Q8" s="33"/>
      <c r="R8" s="33"/>
      <c r="S8" s="33"/>
      <c r="T8" s="36"/>
      <c r="U8" s="2"/>
      <c r="W8" s="45"/>
      <c r="X8" s="7"/>
    </row>
    <row r="9" ht="15.75" customHeight="1">
      <c r="A9" s="10"/>
      <c r="B9" s="17" t="s">
        <v>4</v>
      </c>
      <c r="C9" s="18" t="str">
        <f>IF(C8="", "", IFERROR(VLOOKUP(C8, 'Food Chart'!A:B, 2, FALSE), ""))</f>
        <v/>
      </c>
      <c r="D9" s="4"/>
      <c r="E9" s="31"/>
      <c r="F9" s="46"/>
      <c r="G9" s="4"/>
      <c r="H9" s="4"/>
      <c r="I9" s="32"/>
      <c r="J9" s="33"/>
      <c r="K9" s="34"/>
      <c r="L9" s="33"/>
      <c r="M9" s="33"/>
      <c r="N9" s="4"/>
      <c r="O9" s="4"/>
      <c r="P9" s="35"/>
      <c r="Q9" s="47"/>
      <c r="R9" s="47"/>
      <c r="S9" s="47"/>
      <c r="T9" s="48"/>
      <c r="U9" s="2"/>
      <c r="V9" s="28" t="s">
        <v>16</v>
      </c>
      <c r="W9" s="49"/>
      <c r="X9" s="7"/>
    </row>
    <row r="10" ht="15.75" customHeight="1">
      <c r="A10" s="50"/>
      <c r="B10" s="21" t="s">
        <v>6</v>
      </c>
      <c r="C10" s="22" t="str">
        <f>IF(C8="", "", IFERROR(VLOOKUP(C8, 'Food Chart'!A:C, 3, FALSE), ""))</f>
        <v/>
      </c>
      <c r="D10" s="4" t="str">
        <f>IF(C8="", "", IFERROR(VLOOKUP(C8, 'Food Chart'!A:D, 4, FALSE), ""))</f>
        <v/>
      </c>
      <c r="E10" s="11" t="s">
        <v>44</v>
      </c>
      <c r="F10" s="51">
        <v>1.22</v>
      </c>
      <c r="G10" s="4"/>
      <c r="H10" s="4"/>
      <c r="I10" s="32"/>
      <c r="J10" s="33"/>
      <c r="K10" s="34"/>
      <c r="L10" s="33"/>
      <c r="M10" s="33"/>
      <c r="N10" s="4"/>
      <c r="O10" s="4"/>
      <c r="P10" s="52"/>
      <c r="Q10" s="53"/>
      <c r="R10" s="53"/>
      <c r="S10" s="53"/>
      <c r="T10" s="54"/>
      <c r="U10" s="2"/>
      <c r="V10" s="28" t="s">
        <v>28</v>
      </c>
      <c r="W10" s="37"/>
      <c r="X10" s="7"/>
    </row>
    <row r="11" ht="15.75" customHeight="1">
      <c r="B11" s="21" t="s">
        <v>19</v>
      </c>
      <c r="C11" s="30"/>
      <c r="E11" s="23" t="s">
        <v>45</v>
      </c>
      <c r="F11" s="55">
        <v>15.2</v>
      </c>
      <c r="P11" s="56"/>
      <c r="Q11" s="57"/>
      <c r="R11" s="57"/>
      <c r="S11" s="57"/>
      <c r="T11" s="58"/>
      <c r="U11" s="7"/>
      <c r="V11" s="7"/>
      <c r="W11" s="59"/>
      <c r="X11" s="7"/>
    </row>
    <row r="12" ht="15.75" customHeight="1">
      <c r="B12" s="38" t="s">
        <v>21</v>
      </c>
      <c r="C12" s="39"/>
      <c r="D12" s="60"/>
      <c r="P12" s="56"/>
      <c r="Q12" s="57"/>
      <c r="R12" s="57"/>
      <c r="S12" s="57"/>
      <c r="T12" s="58"/>
      <c r="U12" s="7"/>
      <c r="V12" s="7"/>
      <c r="W12" s="59"/>
      <c r="X12" s="7"/>
    </row>
    <row r="13" ht="15.75" customHeight="1">
      <c r="B13" s="7"/>
      <c r="C13" s="61"/>
      <c r="E13" s="62" t="s">
        <v>30</v>
      </c>
      <c r="F13" s="63">
        <f>IF(OR(F2&lt;=0,F4&lt;=0),"",IF(AND(F6=0,F7=0),"",FLOOR(MAX(0,IF(F2&gt;0,F7/F2,0)+IF(AND(F4&gt;0,F3&gt;0,F6&gt;0),(F6-F3)/F4,0)-IF(F10&gt;0,F10,0)-IF(F11&gt;0,F11/F2,0)),0.05)))</f>
        <v>0</v>
      </c>
      <c r="P13" s="56"/>
      <c r="Q13" s="57"/>
      <c r="R13" s="57"/>
      <c r="S13" s="57"/>
      <c r="T13" s="58"/>
      <c r="U13" s="7"/>
      <c r="V13" s="7"/>
      <c r="W13" s="59"/>
      <c r="X13" s="7"/>
    </row>
    <row r="14" ht="15.75" customHeight="1">
      <c r="B14" s="8" t="s">
        <v>0</v>
      </c>
      <c r="C14" s="9"/>
      <c r="E14" s="64"/>
      <c r="F14" s="64"/>
      <c r="P14" s="56"/>
      <c r="Q14" s="57"/>
      <c r="R14" s="57"/>
      <c r="S14" s="57"/>
      <c r="T14" s="58"/>
      <c r="U14" s="7"/>
      <c r="V14" s="7"/>
      <c r="W14" s="59"/>
      <c r="X14" s="7"/>
    </row>
    <row r="15" ht="15.75" customHeight="1">
      <c r="B15" s="17" t="s">
        <v>4</v>
      </c>
      <c r="C15" s="18" t="str">
        <f>IF(C14="", "", IFERROR(VLOOKUP(C14, 'Food Chart'!A:B, 2, FALSE), ""))</f>
        <v/>
      </c>
      <c r="P15" s="56"/>
      <c r="Q15" s="57"/>
      <c r="R15" s="57"/>
      <c r="S15" s="57"/>
      <c r="T15" s="58"/>
      <c r="U15" s="7"/>
      <c r="V15" s="7"/>
      <c r="W15" s="59"/>
      <c r="X15" s="7"/>
    </row>
    <row r="16" ht="15.75" customHeight="1">
      <c r="B16" s="21" t="s">
        <v>6</v>
      </c>
      <c r="C16" s="22" t="str">
        <f>IF(C14="", "", IFERROR(VLOOKUP(C14, 'Food Chart'!A:C, 3, FALSE), ""))</f>
        <v/>
      </c>
      <c r="D16" s="65" t="str">
        <f>IF(C14="", "", IFERROR(VLOOKUP(C14, 'Food Chart'!A:D, 4, FALSE), ""))</f>
        <v/>
      </c>
      <c r="E16" s="66" t="str">
        <f>IFERROR(__xludf.DUMMYFUNCTION("IF(F14="""", ""Bolus time"",
   IF(ISTEXT(F14),
      F14,
      REGEXREPLACE(REGEXREPLACE(TEXT(FLOOR(F14, 0.05), ""0.00""), ""([.,]\d)0$"", ""$1""), ""[.,]0$"", """")
   ) &amp; "" U bolus at""
)"),"Bolus time")</f>
        <v>Bolus time</v>
      </c>
      <c r="F16" s="67"/>
      <c r="P16" s="56"/>
      <c r="Q16" s="57"/>
      <c r="R16" s="57"/>
      <c r="S16" s="57"/>
      <c r="T16" s="58"/>
      <c r="U16" s="7"/>
      <c r="V16" s="7"/>
      <c r="W16" s="59"/>
      <c r="X16" s="7"/>
    </row>
    <row r="17" ht="15.75" customHeight="1">
      <c r="B17" s="21" t="s">
        <v>19</v>
      </c>
      <c r="C17" s="30"/>
      <c r="D17" s="60"/>
      <c r="E17" s="68" t="s">
        <v>32</v>
      </c>
      <c r="F17" s="69"/>
      <c r="J17" s="60" t="s">
        <v>33</v>
      </c>
      <c r="P17" s="56"/>
      <c r="Q17" s="57"/>
      <c r="R17" s="57"/>
      <c r="S17" s="57"/>
      <c r="T17" s="58"/>
      <c r="U17" s="7"/>
      <c r="V17" s="7"/>
      <c r="W17" s="70"/>
      <c r="X17" s="71"/>
    </row>
    <row r="18" ht="15.75" customHeight="1">
      <c r="B18" s="38" t="s">
        <v>21</v>
      </c>
      <c r="C18" s="39"/>
      <c r="E18" s="68" t="s">
        <v>46</v>
      </c>
      <c r="F18" s="69"/>
      <c r="P18" s="56"/>
      <c r="Q18" s="57"/>
      <c r="R18" s="57"/>
      <c r="S18" s="57"/>
      <c r="T18" s="58"/>
      <c r="U18" s="7"/>
      <c r="V18" s="7"/>
      <c r="W18" s="70"/>
      <c r="X18" s="71"/>
    </row>
    <row r="19" ht="15.75" customHeight="1">
      <c r="B19" s="7"/>
      <c r="C19" s="72"/>
      <c r="E19" s="73" t="s">
        <v>35</v>
      </c>
      <c r="F19" s="74" t="str">
        <f>IF(OR(F18="",F16=""),"",ROUND((F18-F16)*24*60,0)&amp;" minutes")</f>
        <v/>
      </c>
      <c r="P19" s="56"/>
      <c r="Q19" s="57"/>
      <c r="R19" s="57"/>
      <c r="S19" s="57"/>
      <c r="T19" s="58"/>
      <c r="U19" s="7"/>
      <c r="V19" s="7"/>
      <c r="W19" s="59"/>
      <c r="X19" s="7"/>
    </row>
    <row r="20" ht="15.75" customHeight="1">
      <c r="B20" s="8" t="s">
        <v>0</v>
      </c>
      <c r="C20" s="9"/>
      <c r="F20" s="76"/>
      <c r="P20" s="56"/>
      <c r="Q20" s="57"/>
      <c r="R20" s="57"/>
      <c r="S20" s="57"/>
      <c r="T20" s="58"/>
      <c r="U20" s="7"/>
      <c r="V20" s="7"/>
      <c r="W20" s="59"/>
      <c r="X20" s="7"/>
    </row>
    <row r="21" ht="15.75" customHeight="1">
      <c r="B21" s="17" t="s">
        <v>4</v>
      </c>
      <c r="C21" s="18" t="str">
        <f>IF(C20="", "", IFERROR(VLOOKUP(C20, 'Food Chart'!A:B, 2, FALSE), ""))</f>
        <v/>
      </c>
      <c r="P21" s="56"/>
      <c r="Q21" s="57"/>
      <c r="R21" s="57"/>
      <c r="S21" s="57"/>
      <c r="T21" s="58"/>
      <c r="U21" s="7"/>
      <c r="V21" s="7"/>
      <c r="W21" s="59"/>
      <c r="X21" s="7"/>
    </row>
    <row r="22" ht="15.75" customHeight="1">
      <c r="B22" s="21" t="s">
        <v>6</v>
      </c>
      <c r="C22" s="22" t="str">
        <f>IF(C20="", "", IFERROR(VLOOKUP(C20, 'Food Chart'!A:C, 3, FALSE), ""))</f>
        <v/>
      </c>
      <c r="D22" s="60" t="str">
        <f>IF(C20="", "", IFERROR(VLOOKUP(C20, 'Food Chart'!A:D, 4, FALSE), ""))</f>
        <v/>
      </c>
      <c r="E22" s="77" t="s">
        <v>36</v>
      </c>
      <c r="F22" s="78"/>
      <c r="P22" s="56"/>
      <c r="Q22" s="57"/>
      <c r="R22" s="57"/>
      <c r="S22" s="57"/>
      <c r="T22" s="58"/>
      <c r="U22" s="7"/>
      <c r="V22" s="7"/>
      <c r="W22" s="70"/>
      <c r="X22" s="71"/>
    </row>
    <row r="23" ht="15.75" customHeight="1">
      <c r="B23" s="21" t="s">
        <v>19</v>
      </c>
      <c r="C23" s="30"/>
      <c r="E23" s="80"/>
      <c r="F23" s="78"/>
      <c r="P23" s="56"/>
      <c r="Q23" s="57"/>
      <c r="R23" s="57"/>
      <c r="S23" s="57"/>
      <c r="T23" s="58"/>
      <c r="U23" s="7"/>
      <c r="V23" s="7"/>
      <c r="W23" s="70"/>
      <c r="X23" s="71"/>
    </row>
    <row r="24" ht="15.75" customHeight="1">
      <c r="B24" s="38" t="s">
        <v>21</v>
      </c>
      <c r="C24" s="39"/>
      <c r="E24" s="80"/>
      <c r="F24" s="78"/>
      <c r="K24" s="81"/>
      <c r="P24" s="56"/>
      <c r="Q24" s="57"/>
      <c r="R24" s="57"/>
      <c r="S24" s="57"/>
      <c r="T24" s="58"/>
      <c r="U24" s="7"/>
      <c r="V24" s="7"/>
      <c r="W24" s="70"/>
      <c r="X24" s="71"/>
    </row>
    <row r="25" ht="15.75" customHeight="1">
      <c r="B25" s="7"/>
      <c r="C25" s="61"/>
      <c r="E25" s="80"/>
      <c r="F25" s="78"/>
      <c r="P25" s="82"/>
      <c r="T25" s="7"/>
      <c r="U25" s="7"/>
      <c r="V25" s="7"/>
      <c r="W25" s="70"/>
      <c r="X25" s="71"/>
    </row>
    <row r="26" ht="15.75" customHeight="1">
      <c r="B26" s="8" t="s">
        <v>0</v>
      </c>
      <c r="C26" s="9"/>
      <c r="E26" s="83"/>
      <c r="F26" s="83"/>
      <c r="P26" s="82"/>
      <c r="T26" s="7"/>
      <c r="U26" s="7"/>
      <c r="V26" s="7"/>
      <c r="W26" s="59"/>
      <c r="X26" s="7"/>
    </row>
    <row r="27" ht="15.75" customHeight="1">
      <c r="B27" s="17" t="s">
        <v>4</v>
      </c>
      <c r="C27" s="18" t="str">
        <f>IF(C26="", "", IFERROR(VLOOKUP(C26, 'Food Chart'!A:B, 2, FALSE), ""))</f>
        <v/>
      </c>
      <c r="F27" s="76"/>
      <c r="P27" s="82"/>
      <c r="T27" s="7"/>
      <c r="U27" s="7"/>
      <c r="V27" s="7"/>
      <c r="W27" s="70"/>
      <c r="X27" s="71"/>
    </row>
    <row r="28" ht="15.75" customHeight="1">
      <c r="B28" s="21" t="s">
        <v>6</v>
      </c>
      <c r="C28" s="22" t="str">
        <f>IF(C26="", "", IFERROR(VLOOKUP(C26, 'Food Chart'!A:C, 3, FALSE), ""))</f>
        <v/>
      </c>
      <c r="D28" s="65" t="str">
        <f>IF(C26="", "", IFERROR(VLOOKUP(C26, 'Food Chart'!A:D, 4, FALSE), ""))</f>
        <v/>
      </c>
      <c r="F28" s="76"/>
      <c r="P28" s="82"/>
      <c r="T28" s="7"/>
      <c r="U28" s="7"/>
      <c r="V28" s="7"/>
      <c r="W28" s="70"/>
      <c r="X28" s="71"/>
    </row>
    <row r="29" ht="15.75" customHeight="1">
      <c r="B29" s="21" t="s">
        <v>19</v>
      </c>
      <c r="C29" s="30"/>
      <c r="F29" s="76"/>
      <c r="P29" s="82"/>
      <c r="T29" s="7"/>
      <c r="U29" s="7"/>
      <c r="V29" s="7"/>
      <c r="W29" s="70"/>
      <c r="X29" s="71"/>
    </row>
    <row r="30" ht="15.75" customHeight="1">
      <c r="B30" s="38" t="s">
        <v>21</v>
      </c>
      <c r="C30" s="39"/>
      <c r="F30" s="76"/>
      <c r="P30" s="82"/>
      <c r="T30" s="7"/>
      <c r="U30" s="7"/>
      <c r="V30" s="7"/>
      <c r="W30" s="70"/>
      <c r="X30" s="71"/>
    </row>
    <row r="31" ht="15.75" customHeight="1">
      <c r="B31" s="7"/>
      <c r="C31" s="59"/>
      <c r="F31" s="76"/>
      <c r="P31" s="82"/>
      <c r="T31" s="7"/>
      <c r="U31" s="7"/>
      <c r="V31" s="7"/>
      <c r="W31" s="59"/>
      <c r="X31" s="7"/>
    </row>
    <row r="32" ht="15.75" customHeight="1">
      <c r="B32" s="8" t="s">
        <v>0</v>
      </c>
      <c r="C32" s="9"/>
      <c r="F32" s="76"/>
      <c r="P32" s="82"/>
      <c r="T32" s="7"/>
      <c r="U32" s="7"/>
      <c r="V32" s="7"/>
      <c r="W32" s="59"/>
      <c r="X32" s="7"/>
    </row>
    <row r="33" ht="15.75" customHeight="1">
      <c r="B33" s="17" t="s">
        <v>4</v>
      </c>
      <c r="C33" s="18" t="str">
        <f>IF(C32="", "", IFERROR(VLOOKUP(C32, 'Food Chart'!A:B, 2, FALSE), ""))</f>
        <v/>
      </c>
      <c r="F33" s="76"/>
      <c r="P33" s="82"/>
      <c r="T33" s="7"/>
      <c r="U33" s="7"/>
      <c r="V33" s="7"/>
      <c r="W33" s="59"/>
      <c r="X33" s="7"/>
    </row>
    <row r="34" ht="15.75" customHeight="1">
      <c r="B34" s="21" t="s">
        <v>6</v>
      </c>
      <c r="C34" s="22" t="str">
        <f>IF(C32="", "", IFERROR(VLOOKUP(C32, 'Food Chart'!A:C, 3, FALSE), ""))</f>
        <v/>
      </c>
      <c r="D34" s="65" t="str">
        <f>IF(C32="", "", IFERROR(VLOOKUP(C32, 'Food Chart'!A:D, 4, FALSE), ""))</f>
        <v/>
      </c>
      <c r="F34" s="76"/>
      <c r="P34" s="82"/>
      <c r="T34" s="7"/>
      <c r="U34" s="7"/>
      <c r="V34" s="7"/>
      <c r="W34" s="59"/>
      <c r="X34" s="7"/>
    </row>
    <row r="35" ht="15.75" customHeight="1">
      <c r="B35" s="21" t="s">
        <v>19</v>
      </c>
      <c r="C35" s="30"/>
      <c r="F35" s="76"/>
      <c r="P35" s="82"/>
      <c r="T35" s="7"/>
      <c r="U35" s="7"/>
      <c r="V35" s="7"/>
      <c r="W35" s="59"/>
      <c r="X35" s="7"/>
    </row>
    <row r="36" ht="15.75" customHeight="1">
      <c r="B36" s="38" t="s">
        <v>21</v>
      </c>
      <c r="C36" s="39"/>
      <c r="F36" s="76"/>
      <c r="P36" s="82"/>
      <c r="T36" s="7"/>
      <c r="U36" s="7"/>
      <c r="V36" s="7"/>
      <c r="W36" s="59"/>
      <c r="X36" s="7"/>
    </row>
    <row r="37" ht="15.75" customHeight="1">
      <c r="B37" s="7"/>
      <c r="C37" s="41"/>
      <c r="F37" s="76"/>
      <c r="P37" s="82"/>
      <c r="T37" s="7"/>
      <c r="U37" s="7"/>
      <c r="V37" s="7"/>
      <c r="W37" s="59"/>
      <c r="X37" s="7"/>
    </row>
    <row r="38" ht="15.75" customHeight="1">
      <c r="B38" s="8" t="s">
        <v>0</v>
      </c>
      <c r="C38" s="9"/>
      <c r="F38" s="76"/>
      <c r="P38" s="82"/>
      <c r="T38" s="7"/>
      <c r="U38" s="7"/>
      <c r="V38" s="7"/>
      <c r="W38" s="59"/>
      <c r="X38" s="7"/>
    </row>
    <row r="39" ht="15.75" customHeight="1">
      <c r="B39" s="17" t="s">
        <v>4</v>
      </c>
      <c r="C39" s="18" t="str">
        <f>IF(C38="", "", IFERROR(VLOOKUP(C38, 'Food Chart'!A:B, 2, FALSE), ""))</f>
        <v/>
      </c>
      <c r="F39" s="76"/>
      <c r="P39" s="82"/>
      <c r="T39" s="7"/>
      <c r="U39" s="7"/>
      <c r="V39" s="7"/>
      <c r="W39" s="59"/>
      <c r="X39" s="7"/>
    </row>
    <row r="40" ht="15.75" customHeight="1">
      <c r="B40" s="21" t="s">
        <v>6</v>
      </c>
      <c r="C40" s="22" t="str">
        <f>IF(C38="", "", IFERROR(VLOOKUP(C38, 'Food Chart'!A:C, 3, FALSE), ""))</f>
        <v/>
      </c>
      <c r="D40" s="65" t="str">
        <f>IF(C38="", "", IFERROR(VLOOKUP(C38, 'Food Chart'!A:D, 4, FALSE), ""))</f>
        <v/>
      </c>
      <c r="F40" s="76"/>
      <c r="P40" s="82"/>
      <c r="T40" s="7"/>
      <c r="U40" s="7"/>
      <c r="V40" s="7"/>
      <c r="W40" s="59"/>
      <c r="X40" s="7"/>
    </row>
    <row r="41" ht="15.75" customHeight="1">
      <c r="B41" s="21" t="s">
        <v>19</v>
      </c>
      <c r="C41" s="30"/>
      <c r="F41" s="76"/>
      <c r="P41" s="82"/>
      <c r="T41" s="7"/>
      <c r="U41" s="7"/>
      <c r="V41" s="7"/>
      <c r="W41" s="59"/>
      <c r="X41" s="7"/>
    </row>
    <row r="42" ht="15.75" customHeight="1">
      <c r="B42" s="38" t="s">
        <v>21</v>
      </c>
      <c r="C42" s="39"/>
      <c r="F42" s="76"/>
      <c r="P42" s="82"/>
      <c r="T42" s="7"/>
      <c r="U42" s="7"/>
      <c r="V42" s="7"/>
      <c r="W42" s="59"/>
      <c r="X42" s="7"/>
    </row>
    <row r="43" ht="15.75" customHeight="1">
      <c r="B43" s="7"/>
      <c r="C43" s="61"/>
      <c r="F43" s="76"/>
      <c r="P43" s="82"/>
      <c r="T43" s="7"/>
      <c r="U43" s="7"/>
      <c r="V43" s="7"/>
      <c r="W43" s="59"/>
      <c r="X43" s="7"/>
    </row>
    <row r="44" ht="15.75" customHeight="1">
      <c r="B44" s="8" t="s">
        <v>0</v>
      </c>
      <c r="C44" s="9"/>
      <c r="F44" s="76"/>
      <c r="P44" s="82"/>
      <c r="T44" s="7"/>
      <c r="U44" s="7"/>
      <c r="V44" s="7"/>
      <c r="W44" s="59"/>
      <c r="X44" s="7"/>
    </row>
    <row r="45" ht="15.75" customHeight="1">
      <c r="B45" s="17" t="s">
        <v>4</v>
      </c>
      <c r="C45" s="18" t="str">
        <f>IF(C44="", "", IFERROR(VLOOKUP(C44, 'Food Chart'!A:B, 2, FALSE), ""))</f>
        <v/>
      </c>
      <c r="F45" s="76"/>
      <c r="P45" s="82"/>
      <c r="T45" s="7"/>
      <c r="U45" s="7"/>
      <c r="V45" s="7"/>
      <c r="W45" s="59"/>
      <c r="X45" s="7"/>
    </row>
    <row r="46" ht="15.75" customHeight="1">
      <c r="B46" s="21" t="s">
        <v>6</v>
      </c>
      <c r="C46" s="22" t="str">
        <f>IF(C44="", "", IFERROR(VLOOKUP(C44, 'Food Chart'!A:C, 3, FALSE), ""))</f>
        <v/>
      </c>
      <c r="D46" s="65" t="str">
        <f>IF(C44="", "", IFERROR(VLOOKUP(C44, 'Food Chart'!A:D, 4, FALSE), ""))</f>
        <v/>
      </c>
      <c r="F46" s="76"/>
      <c r="P46" s="82"/>
      <c r="T46" s="7"/>
      <c r="U46" s="7"/>
      <c r="V46" s="7"/>
      <c r="W46" s="59"/>
      <c r="X46" s="7"/>
    </row>
    <row r="47" ht="15.75" customHeight="1">
      <c r="B47" s="21" t="s">
        <v>19</v>
      </c>
      <c r="C47" s="30"/>
      <c r="F47" s="76"/>
      <c r="P47" s="82"/>
      <c r="T47" s="7"/>
      <c r="U47" s="7"/>
      <c r="V47" s="7"/>
      <c r="W47" s="59"/>
      <c r="X47" s="7"/>
    </row>
    <row r="48" ht="15.75" customHeight="1">
      <c r="B48" s="38" t="s">
        <v>21</v>
      </c>
      <c r="C48" s="39"/>
      <c r="F48" s="76"/>
      <c r="P48" s="82"/>
      <c r="T48" s="7"/>
      <c r="U48" s="7"/>
      <c r="V48" s="7"/>
      <c r="W48" s="59"/>
      <c r="X48" s="7"/>
    </row>
    <row r="49" ht="15.75" customHeight="1">
      <c r="B49" s="7"/>
      <c r="C49" s="72"/>
      <c r="F49" s="76"/>
      <c r="P49" s="82"/>
      <c r="T49" s="7"/>
      <c r="U49" s="7"/>
      <c r="V49" s="7"/>
      <c r="W49" s="59"/>
      <c r="X49" s="7"/>
    </row>
    <row r="50" ht="15.75" customHeight="1">
      <c r="B50" s="8" t="s">
        <v>0</v>
      </c>
      <c r="C50" s="9"/>
      <c r="F50" s="76"/>
      <c r="P50" s="82"/>
      <c r="T50" s="7"/>
      <c r="U50" s="7"/>
      <c r="V50" s="7"/>
      <c r="W50" s="59"/>
      <c r="X50" s="7"/>
    </row>
    <row r="51" ht="15.75" customHeight="1">
      <c r="B51" s="17" t="s">
        <v>4</v>
      </c>
      <c r="C51" s="18" t="str">
        <f>IF(C50="", "", IFERROR(VLOOKUP(C50, 'Food Chart'!A:B, 2, FALSE), ""))</f>
        <v/>
      </c>
      <c r="F51" s="76"/>
      <c r="P51" s="82"/>
      <c r="T51" s="7"/>
      <c r="U51" s="7"/>
      <c r="V51" s="7"/>
      <c r="W51" s="59"/>
      <c r="X51" s="7"/>
    </row>
    <row r="52" ht="15.75" customHeight="1">
      <c r="B52" s="21" t="s">
        <v>6</v>
      </c>
      <c r="C52" s="22" t="str">
        <f>IF(C50="", "", IFERROR(VLOOKUP(C50, 'Food Chart'!A:C, 3, FALSE), ""))</f>
        <v/>
      </c>
      <c r="D52" s="65" t="str">
        <f>IF(C50="", "", IFERROR(VLOOKUP(C50, 'Food Chart'!A:D, 4, FALSE), ""))</f>
        <v/>
      </c>
      <c r="F52" s="76"/>
      <c r="P52" s="82"/>
      <c r="T52" s="7"/>
      <c r="U52" s="7"/>
      <c r="V52" s="7"/>
      <c r="W52" s="59"/>
      <c r="X52" s="7"/>
    </row>
    <row r="53" ht="15.75" customHeight="1">
      <c r="B53" s="21" t="s">
        <v>19</v>
      </c>
      <c r="C53" s="30"/>
      <c r="F53" s="76"/>
      <c r="P53" s="82"/>
      <c r="T53" s="7"/>
      <c r="U53" s="7"/>
      <c r="V53" s="7"/>
      <c r="W53" s="59"/>
      <c r="X53" s="7"/>
    </row>
    <row r="54" ht="15.75" customHeight="1">
      <c r="B54" s="38" t="s">
        <v>21</v>
      </c>
      <c r="C54" s="39"/>
      <c r="F54" s="76"/>
      <c r="P54" s="82"/>
      <c r="T54" s="7"/>
      <c r="U54" s="7"/>
      <c r="V54" s="7"/>
      <c r="W54" s="59"/>
      <c r="X54" s="7"/>
    </row>
    <row r="55" ht="15.75" customHeight="1">
      <c r="B55" s="7"/>
      <c r="C55" s="61"/>
      <c r="F55" s="76"/>
      <c r="P55" s="82"/>
      <c r="T55" s="7"/>
      <c r="U55" s="7"/>
      <c r="V55" s="7"/>
      <c r="W55" s="59"/>
      <c r="X55" s="7"/>
    </row>
    <row r="56" ht="15.75" customHeight="1">
      <c r="B56" s="8" t="s">
        <v>0</v>
      </c>
      <c r="C56" s="9"/>
      <c r="F56" s="76"/>
      <c r="P56" s="82"/>
      <c r="T56" s="7"/>
      <c r="U56" s="7"/>
      <c r="V56" s="7"/>
      <c r="W56" s="59"/>
      <c r="X56" s="7"/>
    </row>
    <row r="57" ht="15.75" customHeight="1">
      <c r="B57" s="17" t="s">
        <v>4</v>
      </c>
      <c r="C57" s="18" t="str">
        <f>IF(C56="", "", IFERROR(VLOOKUP(C56, 'Food Chart'!A:B, 2, FALSE), ""))</f>
        <v/>
      </c>
      <c r="F57" s="76"/>
      <c r="P57" s="82"/>
      <c r="T57" s="7"/>
      <c r="U57" s="7"/>
      <c r="V57" s="7"/>
      <c r="W57" s="59"/>
      <c r="X57" s="7"/>
    </row>
    <row r="58" ht="15.75" customHeight="1">
      <c r="B58" s="21" t="s">
        <v>6</v>
      </c>
      <c r="C58" s="22" t="str">
        <f>IF(C56="", "", IFERROR(VLOOKUP(C56, 'Food Chart'!A:C, 3, FALSE), ""))</f>
        <v/>
      </c>
      <c r="D58" s="65" t="str">
        <f>IF(C56="", "", IFERROR(VLOOKUP(C56, 'Food Chart'!A:D, 4, FALSE), ""))</f>
        <v/>
      </c>
      <c r="F58" s="76"/>
      <c r="P58" s="82"/>
      <c r="T58" s="7"/>
      <c r="U58" s="7"/>
      <c r="V58" s="7"/>
      <c r="W58" s="59"/>
      <c r="X58" s="7"/>
    </row>
    <row r="59" ht="15.75" customHeight="1">
      <c r="B59" s="21" t="s">
        <v>19</v>
      </c>
      <c r="C59" s="30"/>
      <c r="F59" s="76"/>
      <c r="P59" s="82"/>
      <c r="T59" s="7"/>
      <c r="U59" s="7"/>
      <c r="V59" s="7"/>
      <c r="W59" s="59"/>
      <c r="X59" s="7"/>
    </row>
    <row r="60" ht="15.75" customHeight="1">
      <c r="B60" s="38" t="s">
        <v>21</v>
      </c>
      <c r="C60" s="39"/>
      <c r="F60" s="76"/>
      <c r="P60" s="82"/>
      <c r="T60" s="7"/>
      <c r="U60" s="7"/>
      <c r="V60" s="7"/>
      <c r="W60" s="59"/>
      <c r="X60" s="7"/>
    </row>
    <row r="61" ht="15.75" customHeight="1">
      <c r="B61" s="7"/>
      <c r="C61" s="59"/>
      <c r="F61" s="76"/>
      <c r="P61" s="82"/>
      <c r="T61" s="7"/>
      <c r="U61" s="7"/>
      <c r="V61" s="7"/>
      <c r="W61" s="59"/>
      <c r="X61" s="7"/>
    </row>
    <row r="62" ht="15.75" customHeight="1">
      <c r="B62" s="8" t="s">
        <v>0</v>
      </c>
      <c r="C62" s="9"/>
      <c r="F62" s="76"/>
      <c r="P62" s="82"/>
      <c r="T62" s="7"/>
      <c r="U62" s="7"/>
      <c r="V62" s="7"/>
      <c r="W62" s="59"/>
      <c r="X62" s="7"/>
    </row>
    <row r="63" ht="15.75" customHeight="1">
      <c r="B63" s="17" t="s">
        <v>4</v>
      </c>
      <c r="C63" s="18" t="str">
        <f>IF(C62="", "", IFERROR(VLOOKUP(C62, 'Food Chart'!A:B, 2, FALSE), ""))</f>
        <v/>
      </c>
      <c r="F63" s="76"/>
      <c r="P63" s="82"/>
      <c r="T63" s="7"/>
      <c r="U63" s="7"/>
      <c r="V63" s="7"/>
      <c r="W63" s="59"/>
      <c r="X63" s="7"/>
    </row>
    <row r="64" ht="15.75" customHeight="1">
      <c r="B64" s="21" t="s">
        <v>6</v>
      </c>
      <c r="C64" s="22" t="str">
        <f>IF(C62="", "", IFERROR(VLOOKUP(C62, 'Food Chart'!A:C, 3, FALSE), ""))</f>
        <v/>
      </c>
      <c r="D64" s="65" t="str">
        <f>IF(C62="", "", IFERROR(VLOOKUP(C62, 'Food Chart'!A:D, 4, FALSE), ""))</f>
        <v/>
      </c>
      <c r="F64" s="76"/>
      <c r="P64" s="82"/>
      <c r="T64" s="7"/>
      <c r="U64" s="7"/>
      <c r="V64" s="7"/>
      <c r="W64" s="59"/>
      <c r="X64" s="7"/>
    </row>
    <row r="65" ht="15.75" customHeight="1">
      <c r="B65" s="21" t="s">
        <v>19</v>
      </c>
      <c r="C65" s="30"/>
      <c r="F65" s="76"/>
      <c r="P65" s="82"/>
      <c r="T65" s="7"/>
      <c r="U65" s="7"/>
      <c r="V65" s="7"/>
      <c r="W65" s="59"/>
      <c r="X65" s="7"/>
    </row>
    <row r="66" ht="15.75" customHeight="1">
      <c r="B66" s="38" t="s">
        <v>21</v>
      </c>
      <c r="C66" s="39"/>
      <c r="F66" s="76"/>
      <c r="P66" s="82"/>
      <c r="T66" s="7"/>
      <c r="U66" s="7"/>
      <c r="V66" s="7"/>
      <c r="W66" s="59"/>
      <c r="X66" s="7"/>
    </row>
    <row r="67" ht="15.75" customHeight="1">
      <c r="B67" s="7"/>
      <c r="C67" s="41"/>
      <c r="F67" s="76"/>
      <c r="P67" s="82"/>
      <c r="T67" s="7"/>
      <c r="U67" s="7"/>
      <c r="V67" s="7"/>
      <c r="W67" s="59"/>
      <c r="X67" s="7"/>
    </row>
    <row r="68" ht="15.75" customHeight="1">
      <c r="B68" s="8" t="s">
        <v>0</v>
      </c>
      <c r="C68" s="9"/>
      <c r="F68" s="76"/>
      <c r="P68" s="82"/>
      <c r="T68" s="7"/>
      <c r="U68" s="7"/>
      <c r="V68" s="7"/>
      <c r="W68" s="59"/>
      <c r="X68" s="7"/>
    </row>
    <row r="69" ht="15.75" customHeight="1">
      <c r="B69" s="17" t="s">
        <v>4</v>
      </c>
      <c r="C69" s="18" t="str">
        <f>IF(C68="", "", IFERROR(VLOOKUP(C68, 'Food Chart'!A:B, 2, FALSE), ""))</f>
        <v/>
      </c>
      <c r="F69" s="76"/>
      <c r="P69" s="82"/>
      <c r="T69" s="7"/>
      <c r="U69" s="7"/>
      <c r="V69" s="7"/>
      <c r="W69" s="59"/>
      <c r="X69" s="7"/>
    </row>
    <row r="70" ht="15.75" customHeight="1">
      <c r="B70" s="21" t="s">
        <v>6</v>
      </c>
      <c r="C70" s="22" t="str">
        <f>IF(C68="", "", IFERROR(VLOOKUP(C68, 'Food Chart'!A:C, 3, FALSE), ""))</f>
        <v/>
      </c>
      <c r="D70" s="65" t="str">
        <f>IF(C68="", "", IFERROR(VLOOKUP(C68, 'Food Chart'!A:D, 4, FALSE), ""))</f>
        <v/>
      </c>
      <c r="F70" s="76"/>
      <c r="P70" s="82"/>
      <c r="T70" s="7"/>
      <c r="U70" s="7"/>
      <c r="V70" s="7"/>
      <c r="W70" s="59"/>
      <c r="X70" s="7"/>
    </row>
    <row r="71" ht="15.75" customHeight="1">
      <c r="B71" s="21" t="s">
        <v>19</v>
      </c>
      <c r="C71" s="30"/>
      <c r="F71" s="76"/>
      <c r="P71" s="82"/>
      <c r="T71" s="7"/>
      <c r="U71" s="7"/>
      <c r="V71" s="7"/>
      <c r="W71" s="59"/>
      <c r="X71" s="7"/>
    </row>
    <row r="72" ht="15.75" customHeight="1">
      <c r="B72" s="38" t="s">
        <v>21</v>
      </c>
      <c r="C72" s="39"/>
      <c r="F72" s="76"/>
      <c r="P72" s="82"/>
      <c r="T72" s="7"/>
      <c r="U72" s="7"/>
      <c r="V72" s="7"/>
      <c r="W72" s="59"/>
      <c r="X72" s="7"/>
    </row>
    <row r="73" ht="15.75" customHeight="1">
      <c r="B73" s="7"/>
      <c r="C73" s="61"/>
      <c r="F73" s="76"/>
      <c r="P73" s="82"/>
      <c r="T73" s="7"/>
      <c r="U73" s="7"/>
      <c r="V73" s="7"/>
      <c r="W73" s="59"/>
      <c r="X73" s="7"/>
    </row>
    <row r="74" ht="15.75" customHeight="1">
      <c r="B74" s="8" t="s">
        <v>0</v>
      </c>
      <c r="C74" s="9"/>
      <c r="F74" s="76"/>
      <c r="P74" s="82"/>
      <c r="T74" s="7"/>
      <c r="U74" s="7"/>
      <c r="V74" s="7"/>
      <c r="W74" s="59"/>
      <c r="X74" s="7"/>
    </row>
    <row r="75" ht="15.75" customHeight="1">
      <c r="B75" s="17" t="s">
        <v>4</v>
      </c>
      <c r="C75" s="18" t="str">
        <f>IF(C74="", "", IFERROR(VLOOKUP(C74, 'Food Chart'!A:B, 2, FALSE), ""))</f>
        <v/>
      </c>
      <c r="F75" s="76"/>
      <c r="P75" s="82"/>
      <c r="T75" s="7"/>
      <c r="U75" s="7"/>
      <c r="V75" s="7"/>
      <c r="W75" s="59"/>
      <c r="X75" s="7"/>
    </row>
    <row r="76" ht="15.75" customHeight="1">
      <c r="B76" s="21" t="s">
        <v>6</v>
      </c>
      <c r="C76" s="22" t="str">
        <f>IF(C74="", "", IFERROR(VLOOKUP(C74, 'Food Chart'!A:C, 3, FALSE), ""))</f>
        <v/>
      </c>
      <c r="D76" s="65" t="str">
        <f>IF(C74="", "", IFERROR(VLOOKUP(C74, 'Food Chart'!A:D, 4, FALSE), ""))</f>
        <v/>
      </c>
      <c r="F76" s="76"/>
      <c r="P76" s="82"/>
      <c r="T76" s="7"/>
      <c r="U76" s="7"/>
      <c r="V76" s="7"/>
      <c r="W76" s="59"/>
      <c r="X76" s="7"/>
    </row>
    <row r="77" ht="15.75" customHeight="1">
      <c r="B77" s="21" t="s">
        <v>19</v>
      </c>
      <c r="C77" s="30"/>
      <c r="F77" s="76"/>
      <c r="P77" s="82"/>
      <c r="T77" s="7"/>
      <c r="U77" s="7"/>
      <c r="V77" s="7"/>
      <c r="W77" s="59"/>
      <c r="X77" s="7"/>
    </row>
    <row r="78" ht="15.75" customHeight="1">
      <c r="B78" s="38" t="s">
        <v>21</v>
      </c>
      <c r="C78" s="39"/>
      <c r="F78" s="76"/>
      <c r="P78" s="82"/>
      <c r="T78" s="7"/>
      <c r="U78" s="7"/>
      <c r="V78" s="7"/>
      <c r="W78" s="59"/>
      <c r="X78" s="7"/>
    </row>
    <row r="79" ht="15.75" customHeight="1">
      <c r="B79" s="7"/>
      <c r="C79" s="72"/>
      <c r="F79" s="76"/>
      <c r="P79" s="82"/>
      <c r="T79" s="7"/>
      <c r="U79" s="7"/>
      <c r="V79" s="7"/>
      <c r="W79" s="59"/>
      <c r="X79" s="7"/>
    </row>
    <row r="80" ht="15.75" customHeight="1">
      <c r="B80" s="8" t="s">
        <v>0</v>
      </c>
      <c r="C80" s="9"/>
      <c r="F80" s="76"/>
      <c r="P80" s="82"/>
      <c r="T80" s="7"/>
      <c r="U80" s="7"/>
      <c r="V80" s="7"/>
      <c r="W80" s="59"/>
      <c r="X80" s="7"/>
    </row>
    <row r="81">
      <c r="B81" s="17" t="s">
        <v>4</v>
      </c>
      <c r="C81" s="18" t="str">
        <f>IF(C80="", "", IFERROR(VLOOKUP(C80, 'Food Chart'!A:B, 2, FALSE), ""))</f>
        <v/>
      </c>
      <c r="F81" s="76"/>
      <c r="P81" s="82"/>
      <c r="T81" s="7"/>
      <c r="U81" s="7"/>
      <c r="V81" s="7"/>
      <c r="W81" s="59"/>
      <c r="X81" s="7"/>
    </row>
    <row r="82">
      <c r="B82" s="21" t="s">
        <v>6</v>
      </c>
      <c r="C82" s="22" t="str">
        <f>IF(C80="", "", IFERROR(VLOOKUP(C80, 'Food Chart'!A:C, 3, FALSE), ""))</f>
        <v/>
      </c>
      <c r="D82" s="65" t="str">
        <f>IF(C80="", "", IFERROR(VLOOKUP(C80, 'Food Chart'!A:D, 4, FALSE), ""))</f>
        <v/>
      </c>
      <c r="F82" s="76"/>
      <c r="P82" s="82"/>
      <c r="T82" s="7"/>
      <c r="U82" s="7"/>
      <c r="V82" s="7"/>
      <c r="W82" s="59"/>
      <c r="X82" s="7"/>
    </row>
    <row r="83">
      <c r="B83" s="21" t="s">
        <v>19</v>
      </c>
      <c r="C83" s="30"/>
      <c r="F83" s="76"/>
      <c r="P83" s="82"/>
      <c r="T83" s="7"/>
      <c r="U83" s="7"/>
      <c r="V83" s="7"/>
      <c r="W83" s="59"/>
      <c r="X83" s="7"/>
    </row>
    <row r="84">
      <c r="B84" s="38" t="s">
        <v>21</v>
      </c>
      <c r="C84" s="39"/>
      <c r="F84" s="76"/>
      <c r="P84" s="82"/>
      <c r="T84" s="7"/>
      <c r="U84" s="7"/>
      <c r="V84" s="7"/>
      <c r="W84" s="59"/>
      <c r="X84" s="7"/>
    </row>
    <row r="85">
      <c r="B85" s="7"/>
      <c r="C85" s="61"/>
      <c r="F85" s="76"/>
      <c r="P85" s="82"/>
      <c r="T85" s="7"/>
      <c r="U85" s="7"/>
      <c r="V85" s="7"/>
      <c r="W85" s="59"/>
      <c r="X85" s="7"/>
    </row>
    <row r="86">
      <c r="B86" s="8" t="s">
        <v>0</v>
      </c>
      <c r="C86" s="9"/>
      <c r="F86" s="76"/>
      <c r="P86" s="82"/>
      <c r="T86" s="7"/>
      <c r="U86" s="7"/>
      <c r="V86" s="7"/>
      <c r="W86" s="59"/>
      <c r="X86" s="7"/>
    </row>
    <row r="87">
      <c r="B87" s="17" t="s">
        <v>4</v>
      </c>
      <c r="C87" s="18" t="str">
        <f>IF(C86="", "", IFERROR(VLOOKUP(C86, 'Food Chart'!A:B, 2, FALSE), ""))</f>
        <v/>
      </c>
      <c r="F87" s="76"/>
      <c r="P87" s="82"/>
      <c r="T87" s="7"/>
      <c r="U87" s="7"/>
      <c r="V87" s="7"/>
      <c r="W87" s="59"/>
      <c r="X87" s="7"/>
    </row>
    <row r="88">
      <c r="B88" s="21" t="s">
        <v>6</v>
      </c>
      <c r="C88" s="22" t="str">
        <f>IF(C86="", "", IFERROR(VLOOKUP(C86, 'Food Chart'!A:C, 3, FALSE), ""))</f>
        <v/>
      </c>
      <c r="D88" s="65" t="str">
        <f>IF(C86="", "", IFERROR(VLOOKUP(C86, 'Food Chart'!A:D, 4, FALSE), ""))</f>
        <v/>
      </c>
      <c r="F88" s="76"/>
      <c r="P88" s="82"/>
      <c r="T88" s="7"/>
      <c r="U88" s="7"/>
      <c r="V88" s="7"/>
      <c r="W88" s="59"/>
      <c r="X88" s="7"/>
    </row>
    <row r="89">
      <c r="B89" s="21" t="s">
        <v>19</v>
      </c>
      <c r="C89" s="30"/>
      <c r="F89" s="76"/>
      <c r="P89" s="82"/>
      <c r="T89" s="7"/>
      <c r="U89" s="7"/>
      <c r="V89" s="7"/>
      <c r="W89" s="59"/>
      <c r="X89" s="7"/>
    </row>
    <row r="90">
      <c r="B90" s="38" t="s">
        <v>21</v>
      </c>
      <c r="C90" s="39"/>
      <c r="F90" s="76"/>
      <c r="P90" s="82"/>
      <c r="T90" s="7"/>
      <c r="U90" s="7"/>
      <c r="V90" s="7"/>
      <c r="W90" s="59"/>
      <c r="X90" s="7"/>
    </row>
    <row r="91">
      <c r="B91" s="7"/>
      <c r="C91" s="59"/>
      <c r="F91" s="76"/>
      <c r="P91" s="82"/>
      <c r="T91" s="7"/>
      <c r="U91" s="7"/>
      <c r="V91" s="7"/>
      <c r="W91" s="59"/>
      <c r="X91" s="7"/>
    </row>
  </sheetData>
  <mergeCells count="8">
    <mergeCell ref="I2:M2"/>
    <mergeCell ref="P2:W2"/>
    <mergeCell ref="E13:E14"/>
    <mergeCell ref="F13:F14"/>
    <mergeCell ref="E22:F22"/>
    <mergeCell ref="E23:F23"/>
    <mergeCell ref="E24:F24"/>
    <mergeCell ref="E25:F25"/>
  </mergeCells>
  <dataValidations>
    <dataValidation type="list" allowBlank="1" sqref="C2 C8 C14 C20 C26 C32 C38 C44 C50 C56 C62 C68 C74 C80 C86">
      <formula1>'Food Chart'!$A$2:$A$1000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16.13"/>
    <col customWidth="1" min="3" max="3" width="32.0"/>
    <col customWidth="1" min="4" max="4" width="5.13"/>
    <col customWidth="1" min="5" max="5" width="30.75"/>
    <col customWidth="1" min="6" max="6" width="9.25"/>
    <col customWidth="1" min="7" max="8" width="5.13"/>
    <col customWidth="1" min="9" max="9" width="15.13"/>
    <col customWidth="1" min="10" max="10" width="17.88"/>
    <col customWidth="1" min="11" max="11" width="6.13"/>
    <col customWidth="1" min="12" max="12" width="6.63"/>
    <col customWidth="1" min="13" max="13" width="7.13"/>
    <col customWidth="1" min="14" max="15" width="2.75"/>
    <col customWidth="1" min="16" max="16" width="12.38"/>
    <col customWidth="1" min="17" max="17" width="11.13"/>
    <col customWidth="1" min="18" max="18" width="14.75"/>
    <col customWidth="1" min="19" max="19" width="12.5"/>
    <col customWidth="1" min="20" max="20" width="9.75"/>
    <col customWidth="1" min="21" max="21" width="2.75"/>
    <col customWidth="1" min="22" max="22" width="13.75"/>
    <col customWidth="1" min="23" max="23" width="4.88"/>
    <col customWidth="1" min="24" max="24" width="2.75"/>
  </cols>
  <sheetData>
    <row r="1" ht="7.5" customHeight="1">
      <c r="A1" s="1"/>
      <c r="B1" s="2"/>
      <c r="C1" s="3"/>
      <c r="D1" s="4"/>
      <c r="E1" s="4"/>
      <c r="F1" s="5"/>
      <c r="G1" s="4"/>
      <c r="H1" s="4"/>
      <c r="I1" s="4"/>
      <c r="J1" s="4"/>
      <c r="K1" s="4"/>
      <c r="L1" s="4"/>
      <c r="M1" s="4"/>
      <c r="N1" s="4"/>
      <c r="O1" s="4"/>
      <c r="P1" s="6"/>
      <c r="Q1" s="4"/>
      <c r="R1" s="4"/>
      <c r="S1" s="4"/>
      <c r="T1" s="2"/>
      <c r="U1" s="2"/>
      <c r="V1" s="2"/>
      <c r="W1" s="3"/>
      <c r="X1" s="7"/>
    </row>
    <row r="2" ht="15.75" customHeight="1">
      <c r="A2" s="1"/>
      <c r="B2" s="8" t="s">
        <v>0</v>
      </c>
      <c r="C2" s="9"/>
      <c r="D2" s="10"/>
      <c r="E2" s="11" t="s">
        <v>47</v>
      </c>
      <c r="F2" s="12">
        <v>20.8</v>
      </c>
      <c r="G2" s="4"/>
      <c r="H2" s="4"/>
      <c r="I2" s="13" t="s">
        <v>2</v>
      </c>
      <c r="J2" s="14"/>
      <c r="K2" s="14"/>
      <c r="L2" s="14"/>
      <c r="M2" s="15"/>
      <c r="N2" s="4"/>
      <c r="O2" s="4"/>
      <c r="P2" s="16" t="s">
        <v>3</v>
      </c>
      <c r="Q2" s="14"/>
      <c r="R2" s="14"/>
      <c r="S2" s="14"/>
      <c r="T2" s="14"/>
      <c r="U2" s="14"/>
      <c r="V2" s="14"/>
      <c r="W2" s="15"/>
      <c r="X2" s="7"/>
    </row>
    <row r="3" ht="15.75" customHeight="1">
      <c r="A3" s="1"/>
      <c r="B3" s="17" t="s">
        <v>4</v>
      </c>
      <c r="C3" s="18" t="str">
        <f>IF(C2="", "", IFERROR(VLOOKUP(C2, 'Food Chart'!A:B, 2, FALSE), ""))</f>
        <v/>
      </c>
      <c r="D3" s="4"/>
      <c r="E3" s="19" t="s">
        <v>48</v>
      </c>
      <c r="F3" s="20">
        <v>6.2</v>
      </c>
      <c r="G3" s="4"/>
      <c r="H3" s="4"/>
      <c r="I3" s="4"/>
      <c r="J3" s="4"/>
      <c r="K3" s="4"/>
      <c r="L3" s="4"/>
      <c r="M3" s="4"/>
      <c r="N3" s="4"/>
      <c r="O3" s="4"/>
      <c r="P3" s="6"/>
      <c r="Q3" s="4"/>
      <c r="R3" s="4"/>
      <c r="S3" s="4"/>
      <c r="T3" s="2"/>
      <c r="U3" s="2"/>
      <c r="V3" s="2"/>
      <c r="W3" s="3"/>
      <c r="X3" s="7"/>
    </row>
    <row r="4" ht="15.75" customHeight="1">
      <c r="A4" s="1"/>
      <c r="B4" s="21" t="s">
        <v>6</v>
      </c>
      <c r="C4" s="22" t="str">
        <f>IF(C2="", "", IFERROR(VLOOKUP(C2, 'Food Chart'!A:C, 3, FALSE), ""))</f>
        <v/>
      </c>
      <c r="D4" s="4" t="str">
        <f>IF(C2="", "", IFERROR(VLOOKUP(C2, 'Food Chart'!A:D, 4, FALSE), ""))</f>
        <v/>
      </c>
      <c r="E4" s="23" t="s">
        <v>49</v>
      </c>
      <c r="F4" s="24">
        <v>8.5</v>
      </c>
      <c r="G4" s="4"/>
      <c r="H4" s="4"/>
      <c r="I4" s="25" t="s">
        <v>8</v>
      </c>
      <c r="J4" s="25" t="s">
        <v>9</v>
      </c>
      <c r="K4" s="25" t="s">
        <v>10</v>
      </c>
      <c r="L4" s="25" t="s">
        <v>11</v>
      </c>
      <c r="M4" s="25" t="s">
        <v>12</v>
      </c>
      <c r="N4" s="4"/>
      <c r="O4" s="4"/>
      <c r="P4" s="26" t="s">
        <v>13</v>
      </c>
      <c r="Q4" s="25" t="s">
        <v>14</v>
      </c>
      <c r="R4" s="25" t="s">
        <v>15</v>
      </c>
      <c r="S4" s="25" t="s">
        <v>16</v>
      </c>
      <c r="T4" s="27" t="s">
        <v>17</v>
      </c>
      <c r="U4" s="2"/>
      <c r="V4" s="28" t="s">
        <v>18</v>
      </c>
      <c r="W4" s="29"/>
      <c r="X4" s="7"/>
    </row>
    <row r="5" ht="15.75" customHeight="1">
      <c r="A5" s="4"/>
      <c r="B5" s="21" t="s">
        <v>19</v>
      </c>
      <c r="C5" s="30"/>
      <c r="D5" s="4"/>
      <c r="E5" s="2"/>
      <c r="F5" s="31"/>
      <c r="G5" s="4"/>
      <c r="H5" s="4"/>
      <c r="I5" s="32"/>
      <c r="J5" s="33"/>
      <c r="K5" s="34"/>
      <c r="L5" s="33"/>
      <c r="M5" s="33"/>
      <c r="N5" s="4"/>
      <c r="O5" s="4"/>
      <c r="P5" s="35"/>
      <c r="Q5" s="33"/>
      <c r="R5" s="33"/>
      <c r="S5" s="33"/>
      <c r="T5" s="36"/>
      <c r="U5" s="2"/>
      <c r="V5" s="28" t="s">
        <v>20</v>
      </c>
      <c r="W5" s="37"/>
      <c r="X5" s="7"/>
    </row>
    <row r="6" ht="15.75" customHeight="1">
      <c r="A6" s="10"/>
      <c r="B6" s="38" t="s">
        <v>21</v>
      </c>
      <c r="C6" s="39"/>
      <c r="D6" s="4"/>
      <c r="E6" s="11" t="s">
        <v>50</v>
      </c>
      <c r="F6" s="40">
        <v>10.4</v>
      </c>
      <c r="G6" s="10" t="s">
        <v>41</v>
      </c>
      <c r="H6" s="4"/>
      <c r="I6" s="32"/>
      <c r="J6" s="33"/>
      <c r="K6" s="34"/>
      <c r="L6" s="33"/>
      <c r="M6" s="33"/>
      <c r="N6" s="4"/>
      <c r="O6" s="4"/>
      <c r="P6" s="35"/>
      <c r="Q6" s="33"/>
      <c r="R6" s="33"/>
      <c r="S6" s="33"/>
      <c r="T6" s="36"/>
      <c r="U6" s="2"/>
      <c r="V6" s="28" t="s">
        <v>23</v>
      </c>
      <c r="W6" s="37"/>
      <c r="X6" s="7"/>
    </row>
    <row r="7" ht="15.75" customHeight="1">
      <c r="A7" s="10"/>
      <c r="B7" s="7"/>
      <c r="C7" s="41"/>
      <c r="D7" s="10"/>
      <c r="E7" s="23" t="s">
        <v>51</v>
      </c>
      <c r="F7" s="42"/>
      <c r="G7" s="4"/>
      <c r="H7" s="4"/>
      <c r="I7" s="32"/>
      <c r="J7" s="33"/>
      <c r="K7" s="34"/>
      <c r="L7" s="33"/>
      <c r="M7" s="33"/>
      <c r="N7" s="4"/>
      <c r="O7" s="4"/>
      <c r="P7" s="35"/>
      <c r="Q7" s="33"/>
      <c r="R7" s="33"/>
      <c r="S7" s="33"/>
      <c r="T7" s="36"/>
      <c r="U7" s="2"/>
      <c r="V7" s="28" t="s">
        <v>25</v>
      </c>
      <c r="W7" s="43"/>
      <c r="X7" s="7"/>
    </row>
    <row r="8" ht="15.75" customHeight="1">
      <c r="A8" s="4"/>
      <c r="B8" s="8" t="s">
        <v>0</v>
      </c>
      <c r="C8" s="9"/>
      <c r="D8" s="10"/>
      <c r="E8" s="44" t="s">
        <v>52</v>
      </c>
      <c r="F8" s="42"/>
      <c r="G8" s="4"/>
      <c r="H8" s="4"/>
      <c r="I8" s="32"/>
      <c r="J8" s="33"/>
      <c r="K8" s="34"/>
      <c r="L8" s="33"/>
      <c r="M8" s="33"/>
      <c r="N8" s="4"/>
      <c r="O8" s="4"/>
      <c r="P8" s="35"/>
      <c r="Q8" s="33"/>
      <c r="R8" s="33"/>
      <c r="S8" s="33"/>
      <c r="T8" s="36"/>
      <c r="U8" s="2"/>
      <c r="W8" s="45"/>
      <c r="X8" s="7"/>
    </row>
    <row r="9" ht="15.75" customHeight="1">
      <c r="A9" s="10"/>
      <c r="B9" s="17" t="s">
        <v>4</v>
      </c>
      <c r="C9" s="18" t="str">
        <f>IF(C8="", "", IFERROR(VLOOKUP(C8, 'Food Chart'!A:B, 2, FALSE), ""))</f>
        <v/>
      </c>
      <c r="D9" s="4"/>
      <c r="E9" s="31"/>
      <c r="F9" s="46"/>
      <c r="G9" s="4"/>
      <c r="H9" s="4"/>
      <c r="I9" s="32"/>
      <c r="J9" s="33"/>
      <c r="K9" s="34"/>
      <c r="L9" s="33"/>
      <c r="M9" s="33"/>
      <c r="N9" s="4"/>
      <c r="O9" s="4"/>
      <c r="P9" s="35"/>
      <c r="Q9" s="47"/>
      <c r="R9" s="47"/>
      <c r="S9" s="47"/>
      <c r="T9" s="48"/>
      <c r="U9" s="2"/>
      <c r="V9" s="28" t="s">
        <v>16</v>
      </c>
      <c r="W9" s="49"/>
      <c r="X9" s="7"/>
    </row>
    <row r="10" ht="15.75" customHeight="1">
      <c r="A10" s="50"/>
      <c r="B10" s="21" t="s">
        <v>6</v>
      </c>
      <c r="C10" s="22" t="str">
        <f>IF(C8="", "", IFERROR(VLOOKUP(C8, 'Food Chart'!A:C, 3, FALSE), ""))</f>
        <v/>
      </c>
      <c r="D10" s="4" t="str">
        <f>IF(C8="", "", IFERROR(VLOOKUP(C8, 'Food Chart'!A:D, 4, FALSE), ""))</f>
        <v/>
      </c>
      <c r="E10" s="11" t="s">
        <v>53</v>
      </c>
      <c r="F10" s="51">
        <v>1.22</v>
      </c>
      <c r="G10" s="4"/>
      <c r="H10" s="4"/>
      <c r="I10" s="32"/>
      <c r="J10" s="33"/>
      <c r="K10" s="34"/>
      <c r="L10" s="33"/>
      <c r="M10" s="33"/>
      <c r="N10" s="4"/>
      <c r="O10" s="4"/>
      <c r="P10" s="35"/>
      <c r="Q10" s="47"/>
      <c r="R10" s="47"/>
      <c r="S10" s="47"/>
      <c r="T10" s="48"/>
      <c r="U10" s="2"/>
      <c r="V10" s="28" t="s">
        <v>28</v>
      </c>
      <c r="W10" s="37"/>
      <c r="X10" s="7"/>
    </row>
    <row r="11" ht="15.75" customHeight="1">
      <c r="B11" s="21" t="s">
        <v>19</v>
      </c>
      <c r="C11" s="30"/>
      <c r="D11" s="60"/>
      <c r="E11" s="23" t="s">
        <v>54</v>
      </c>
      <c r="F11" s="55">
        <v>15.2</v>
      </c>
      <c r="P11" s="84"/>
      <c r="Q11" s="85"/>
      <c r="R11" s="85"/>
      <c r="S11" s="85"/>
      <c r="T11" s="86"/>
      <c r="U11" s="7"/>
      <c r="V11" s="7"/>
      <c r="W11" s="59"/>
      <c r="X11" s="7"/>
    </row>
    <row r="12" ht="15.75" customHeight="1">
      <c r="B12" s="38" t="s">
        <v>21</v>
      </c>
      <c r="C12" s="39"/>
      <c r="D12" s="60"/>
      <c r="P12" s="56"/>
      <c r="Q12" s="57"/>
      <c r="R12" s="57"/>
      <c r="S12" s="57"/>
      <c r="T12" s="58"/>
      <c r="U12" s="7"/>
      <c r="V12" s="7"/>
      <c r="W12" s="59"/>
      <c r="X12" s="7"/>
    </row>
    <row r="13" ht="15.75" customHeight="1">
      <c r="B13" s="7"/>
      <c r="C13" s="61"/>
      <c r="E13" s="62" t="s">
        <v>30</v>
      </c>
      <c r="F13" s="63">
        <f>IF(OR(F2&lt;=0,F4&lt;=0),"",IF(AND(F6=0,F7=0),"",FLOOR(MAX(0,IF(F2&gt;0,F7/F2,0)+IF(AND(F4&gt;0,F3&gt;0,F6&gt;0),(F6-F3)/F4,0)-IF(F10&gt;0,F10,0)-IF(F11&gt;0,F11/F2,0)),0.05)))</f>
        <v>0</v>
      </c>
      <c r="P13" s="56"/>
      <c r="Q13" s="57"/>
      <c r="R13" s="57"/>
      <c r="S13" s="57"/>
      <c r="T13" s="58"/>
      <c r="U13" s="7"/>
      <c r="V13" s="7"/>
      <c r="W13" s="59"/>
      <c r="X13" s="7"/>
    </row>
    <row r="14" ht="15.75" customHeight="1">
      <c r="B14" s="8" t="s">
        <v>0</v>
      </c>
      <c r="C14" s="9"/>
      <c r="D14" s="60"/>
      <c r="E14" s="64"/>
      <c r="F14" s="64"/>
      <c r="P14" s="56"/>
      <c r="Q14" s="57"/>
      <c r="R14" s="57"/>
      <c r="S14" s="57"/>
      <c r="T14" s="58"/>
      <c r="U14" s="7"/>
      <c r="V14" s="7"/>
      <c r="W14" s="59"/>
      <c r="X14" s="7"/>
    </row>
    <row r="15" ht="15.75" customHeight="1">
      <c r="B15" s="17" t="s">
        <v>4</v>
      </c>
      <c r="C15" s="18" t="str">
        <f>IF(C14="", "", IFERROR(VLOOKUP(C14, 'Food Chart'!A:B, 2, FALSE), ""))</f>
        <v/>
      </c>
      <c r="P15" s="56"/>
      <c r="Q15" s="57"/>
      <c r="R15" s="57"/>
      <c r="S15" s="57"/>
      <c r="T15" s="58"/>
      <c r="U15" s="7"/>
      <c r="V15" s="7"/>
      <c r="W15" s="59"/>
      <c r="X15" s="7"/>
    </row>
    <row r="16" ht="15.75" customHeight="1">
      <c r="B16" s="21" t="s">
        <v>6</v>
      </c>
      <c r="C16" s="22" t="str">
        <f>IF(C14="", "", IFERROR(VLOOKUP(C14, 'Food Chart'!A:C, 3, FALSE), ""))</f>
        <v/>
      </c>
      <c r="D16" s="65" t="str">
        <f>IF(C14="", "", IFERROR(VLOOKUP(C14, 'Food Chart'!A:D, 4, FALSE), ""))</f>
        <v/>
      </c>
      <c r="E16" s="66" t="str">
        <f>IFERROR(__xludf.DUMMYFUNCTION("IF(F14="""", ""Bolus time"",
   IF(ISTEXT(F14),
      F14,
      REGEXREPLACE(REGEXREPLACE(TEXT(FLOOR(F14, 0.05), ""0.00""), ""([.,]\d)0$"", ""$1""), ""[.,]0$"", """")
   ) &amp; "" U bolus at""
)"),"Bolus time")</f>
        <v>Bolus time</v>
      </c>
      <c r="F16" s="67"/>
      <c r="I16" s="60" t="s">
        <v>33</v>
      </c>
      <c r="P16" s="56"/>
      <c r="Q16" s="57"/>
      <c r="R16" s="57"/>
      <c r="S16" s="57"/>
      <c r="T16" s="58"/>
      <c r="U16" s="7"/>
      <c r="V16" s="7"/>
      <c r="W16" s="59"/>
      <c r="X16" s="7"/>
    </row>
    <row r="17" ht="15.75" customHeight="1">
      <c r="B17" s="21" t="s">
        <v>19</v>
      </c>
      <c r="C17" s="30"/>
      <c r="D17" s="60"/>
      <c r="E17" s="68" t="s">
        <v>32</v>
      </c>
      <c r="F17" s="69"/>
      <c r="J17" s="60" t="s">
        <v>33</v>
      </c>
      <c r="P17" s="56"/>
      <c r="Q17" s="57"/>
      <c r="R17" s="57"/>
      <c r="S17" s="57"/>
      <c r="T17" s="58"/>
      <c r="U17" s="7"/>
      <c r="V17" s="7"/>
      <c r="W17" s="70"/>
      <c r="X17" s="71"/>
    </row>
    <row r="18" ht="15.75" customHeight="1">
      <c r="B18" s="38" t="s">
        <v>21</v>
      </c>
      <c r="C18" s="39"/>
      <c r="E18" s="68" t="s">
        <v>55</v>
      </c>
      <c r="F18" s="69"/>
      <c r="P18" s="56"/>
      <c r="Q18" s="57"/>
      <c r="R18" s="57"/>
      <c r="S18" s="57"/>
      <c r="T18" s="58"/>
      <c r="U18" s="7"/>
      <c r="V18" s="7"/>
      <c r="W18" s="70"/>
      <c r="X18" s="71"/>
    </row>
    <row r="19" ht="15.75" customHeight="1">
      <c r="B19" s="7"/>
      <c r="C19" s="72"/>
      <c r="E19" s="73" t="s">
        <v>35</v>
      </c>
      <c r="F19" s="74" t="str">
        <f>IF(OR(F18="",F16=""),"",ROUND((F18-F16)*24*60,0)&amp;" minutes")</f>
        <v/>
      </c>
      <c r="P19" s="56"/>
      <c r="Q19" s="57"/>
      <c r="R19" s="57"/>
      <c r="S19" s="57"/>
      <c r="T19" s="58"/>
      <c r="U19" s="7"/>
      <c r="V19" s="7"/>
      <c r="W19" s="59"/>
      <c r="X19" s="7"/>
    </row>
    <row r="20" ht="15.75" customHeight="1">
      <c r="B20" s="8" t="s">
        <v>0</v>
      </c>
      <c r="C20" s="9"/>
      <c r="D20" s="60"/>
      <c r="F20" s="76"/>
      <c r="P20" s="56"/>
      <c r="Q20" s="57"/>
      <c r="R20" s="57"/>
      <c r="S20" s="57"/>
      <c r="T20" s="58"/>
      <c r="U20" s="7"/>
      <c r="V20" s="7"/>
      <c r="W20" s="59"/>
      <c r="X20" s="7"/>
    </row>
    <row r="21" ht="15.75" customHeight="1">
      <c r="B21" s="17" t="s">
        <v>4</v>
      </c>
      <c r="C21" s="18" t="str">
        <f>IF(C20="", "", IFERROR(VLOOKUP(C20, 'Food Chart'!A:B, 2, FALSE), ""))</f>
        <v/>
      </c>
      <c r="P21" s="56"/>
      <c r="Q21" s="57"/>
      <c r="R21" s="57"/>
      <c r="S21" s="57"/>
      <c r="T21" s="58"/>
      <c r="U21" s="7"/>
      <c r="V21" s="7"/>
      <c r="W21" s="59"/>
      <c r="X21" s="7"/>
    </row>
    <row r="22" ht="15.75" customHeight="1">
      <c r="B22" s="21" t="s">
        <v>6</v>
      </c>
      <c r="C22" s="22" t="str">
        <f>IF(C20="", "", IFERROR(VLOOKUP(C20, 'Food Chart'!A:C, 3, FALSE), ""))</f>
        <v/>
      </c>
      <c r="D22" s="60" t="str">
        <f>IF(C20="", "", IFERROR(VLOOKUP(C20, 'Food Chart'!A:D, 4, FALSE), ""))</f>
        <v/>
      </c>
      <c r="E22" s="77" t="s">
        <v>36</v>
      </c>
      <c r="F22" s="78"/>
      <c r="P22" s="56"/>
      <c r="Q22" s="57"/>
      <c r="R22" s="57"/>
      <c r="S22" s="57"/>
      <c r="T22" s="58"/>
      <c r="U22" s="7"/>
      <c r="V22" s="7"/>
      <c r="W22" s="70"/>
      <c r="X22" s="71"/>
    </row>
    <row r="23" ht="15.75" customHeight="1">
      <c r="B23" s="21" t="s">
        <v>19</v>
      </c>
      <c r="C23" s="30"/>
      <c r="E23" s="80"/>
      <c r="F23" s="78"/>
      <c r="P23" s="56"/>
      <c r="Q23" s="57"/>
      <c r="R23" s="57"/>
      <c r="S23" s="57"/>
      <c r="T23" s="58"/>
      <c r="U23" s="7"/>
      <c r="V23" s="7"/>
      <c r="W23" s="70"/>
      <c r="X23" s="71"/>
    </row>
    <row r="24" ht="15.75" customHeight="1">
      <c r="B24" s="38" t="s">
        <v>21</v>
      </c>
      <c r="C24" s="39"/>
      <c r="E24" s="80"/>
      <c r="F24" s="78"/>
      <c r="K24" s="81"/>
      <c r="P24" s="56"/>
      <c r="Q24" s="57"/>
      <c r="R24" s="57"/>
      <c r="S24" s="57"/>
      <c r="T24" s="58"/>
      <c r="U24" s="7"/>
      <c r="V24" s="7"/>
      <c r="W24" s="70"/>
      <c r="X24" s="71"/>
    </row>
    <row r="25" ht="15.75" customHeight="1">
      <c r="B25" s="7"/>
      <c r="C25" s="61"/>
      <c r="E25" s="80"/>
      <c r="F25" s="78"/>
      <c r="P25" s="82"/>
      <c r="T25" s="7"/>
      <c r="U25" s="7"/>
      <c r="V25" s="7"/>
      <c r="W25" s="70"/>
      <c r="X25" s="71"/>
    </row>
    <row r="26" ht="15.75" customHeight="1">
      <c r="B26" s="8" t="s">
        <v>0</v>
      </c>
      <c r="C26" s="9"/>
      <c r="E26" s="83"/>
      <c r="F26" s="83"/>
      <c r="P26" s="82"/>
      <c r="T26" s="7"/>
      <c r="U26" s="7"/>
      <c r="V26" s="7"/>
      <c r="W26" s="59"/>
      <c r="X26" s="7"/>
    </row>
    <row r="27" ht="15.75" customHeight="1">
      <c r="B27" s="17" t="s">
        <v>4</v>
      </c>
      <c r="C27" s="18" t="str">
        <f>IF(C26="", "", IFERROR(VLOOKUP(C26, 'Food Chart'!A:B, 2, FALSE), ""))</f>
        <v/>
      </c>
      <c r="F27" s="76"/>
      <c r="P27" s="82"/>
      <c r="T27" s="7"/>
      <c r="U27" s="7"/>
      <c r="V27" s="7"/>
      <c r="W27" s="70"/>
      <c r="X27" s="71"/>
    </row>
    <row r="28" ht="15.75" customHeight="1">
      <c r="B28" s="21" t="s">
        <v>6</v>
      </c>
      <c r="C28" s="22" t="str">
        <f>IF(C26="", "", IFERROR(VLOOKUP(C26, 'Food Chart'!A:C, 3, FALSE), ""))</f>
        <v/>
      </c>
      <c r="D28" s="65" t="str">
        <f>IF(C26="", "", IFERROR(VLOOKUP(C26, 'Food Chart'!A:D, 4, FALSE), ""))</f>
        <v/>
      </c>
      <c r="F28" s="76"/>
      <c r="P28" s="82"/>
      <c r="T28" s="7"/>
      <c r="U28" s="7"/>
      <c r="V28" s="7"/>
      <c r="W28" s="70"/>
      <c r="X28" s="71"/>
    </row>
    <row r="29" ht="15.75" customHeight="1">
      <c r="B29" s="21" t="s">
        <v>19</v>
      </c>
      <c r="C29" s="30"/>
      <c r="F29" s="76"/>
      <c r="P29" s="82"/>
      <c r="T29" s="7"/>
      <c r="U29" s="7"/>
      <c r="V29" s="7"/>
      <c r="W29" s="70"/>
      <c r="X29" s="71"/>
    </row>
    <row r="30" ht="15.75" customHeight="1">
      <c r="B30" s="38" t="s">
        <v>21</v>
      </c>
      <c r="C30" s="39"/>
      <c r="F30" s="76"/>
      <c r="P30" s="82"/>
      <c r="T30" s="7"/>
      <c r="U30" s="7"/>
      <c r="V30" s="7"/>
      <c r="W30" s="70"/>
      <c r="X30" s="71"/>
    </row>
    <row r="31" ht="15.75" customHeight="1">
      <c r="B31" s="7"/>
      <c r="C31" s="59"/>
      <c r="F31" s="76"/>
      <c r="P31" s="82"/>
      <c r="T31" s="7"/>
      <c r="U31" s="7"/>
      <c r="V31" s="7"/>
      <c r="W31" s="59"/>
      <c r="X31" s="7"/>
    </row>
    <row r="32" ht="15.75" customHeight="1">
      <c r="B32" s="8" t="s">
        <v>0</v>
      </c>
      <c r="C32" s="9"/>
      <c r="D32" s="60"/>
      <c r="F32" s="76"/>
      <c r="P32" s="82"/>
      <c r="T32" s="7"/>
      <c r="U32" s="7"/>
      <c r="V32" s="7"/>
      <c r="W32" s="59"/>
      <c r="X32" s="7"/>
    </row>
    <row r="33" ht="15.75" customHeight="1">
      <c r="B33" s="17" t="s">
        <v>4</v>
      </c>
      <c r="C33" s="18" t="str">
        <f>IF(C32="", "", IFERROR(VLOOKUP(C32, 'Food Chart'!A:B, 2, FALSE), ""))</f>
        <v/>
      </c>
      <c r="F33" s="76"/>
      <c r="P33" s="82"/>
      <c r="T33" s="7"/>
      <c r="U33" s="7"/>
      <c r="V33" s="7"/>
      <c r="W33" s="59"/>
      <c r="X33" s="7"/>
    </row>
    <row r="34" ht="15.75" customHeight="1">
      <c r="B34" s="21" t="s">
        <v>6</v>
      </c>
      <c r="C34" s="22" t="str">
        <f>IF(C32="", "", IFERROR(VLOOKUP(C32, 'Food Chart'!A:C, 3, FALSE), ""))</f>
        <v/>
      </c>
      <c r="D34" s="65" t="str">
        <f>IF(C32="", "", IFERROR(VLOOKUP(C32, 'Food Chart'!A:D, 4, FALSE), ""))</f>
        <v/>
      </c>
      <c r="F34" s="76"/>
      <c r="P34" s="82"/>
      <c r="T34" s="7"/>
      <c r="U34" s="7"/>
      <c r="V34" s="7"/>
      <c r="W34" s="59"/>
      <c r="X34" s="7"/>
    </row>
    <row r="35" ht="15.75" customHeight="1">
      <c r="B35" s="21" t="s">
        <v>19</v>
      </c>
      <c r="C35" s="30"/>
      <c r="F35" s="76"/>
      <c r="P35" s="82"/>
      <c r="T35" s="7"/>
      <c r="U35" s="7"/>
      <c r="V35" s="7"/>
      <c r="W35" s="59"/>
      <c r="X35" s="7"/>
    </row>
    <row r="36" ht="15.75" customHeight="1">
      <c r="B36" s="38" t="s">
        <v>21</v>
      </c>
      <c r="C36" s="39"/>
      <c r="F36" s="76"/>
      <c r="P36" s="82"/>
      <c r="T36" s="7"/>
      <c r="U36" s="7"/>
      <c r="V36" s="7"/>
      <c r="W36" s="59"/>
      <c r="X36" s="7"/>
    </row>
    <row r="37" ht="15.75" customHeight="1">
      <c r="B37" s="7"/>
      <c r="C37" s="41"/>
      <c r="F37" s="76"/>
      <c r="P37" s="82"/>
      <c r="T37" s="7"/>
      <c r="U37" s="7"/>
      <c r="V37" s="7"/>
      <c r="W37" s="59"/>
      <c r="X37" s="7"/>
    </row>
    <row r="38" ht="15.75" customHeight="1">
      <c r="B38" s="8" t="s">
        <v>0</v>
      </c>
      <c r="C38" s="9"/>
      <c r="F38" s="76"/>
      <c r="P38" s="82"/>
      <c r="T38" s="7"/>
      <c r="U38" s="7"/>
      <c r="V38" s="7"/>
      <c r="W38" s="59"/>
      <c r="X38" s="7"/>
    </row>
    <row r="39" ht="15.75" customHeight="1">
      <c r="B39" s="17" t="s">
        <v>4</v>
      </c>
      <c r="C39" s="18" t="str">
        <f>IF(C38="", "", IFERROR(VLOOKUP(C38, 'Food Chart'!A:B, 2, FALSE), ""))</f>
        <v/>
      </c>
      <c r="F39" s="76"/>
      <c r="P39" s="82"/>
      <c r="T39" s="7"/>
      <c r="U39" s="7"/>
      <c r="V39" s="7"/>
      <c r="W39" s="59"/>
      <c r="X39" s="7"/>
    </row>
    <row r="40" ht="15.75" customHeight="1">
      <c r="B40" s="21" t="s">
        <v>6</v>
      </c>
      <c r="C40" s="22" t="str">
        <f>IF(C38="", "", IFERROR(VLOOKUP(C38, 'Food Chart'!A:C, 3, FALSE), ""))</f>
        <v/>
      </c>
      <c r="D40" s="65" t="str">
        <f>IF(C38="", "", IFERROR(VLOOKUP(C38, 'Food Chart'!A:D, 4, FALSE), ""))</f>
        <v/>
      </c>
      <c r="F40" s="76"/>
      <c r="P40" s="82"/>
      <c r="T40" s="7"/>
      <c r="U40" s="7"/>
      <c r="V40" s="7"/>
      <c r="W40" s="59"/>
      <c r="X40" s="7"/>
    </row>
    <row r="41" ht="15.75" customHeight="1">
      <c r="B41" s="21" t="s">
        <v>19</v>
      </c>
      <c r="C41" s="30"/>
      <c r="F41" s="76"/>
      <c r="P41" s="82"/>
      <c r="T41" s="7"/>
      <c r="U41" s="7"/>
      <c r="V41" s="7"/>
      <c r="W41" s="59"/>
      <c r="X41" s="7"/>
    </row>
    <row r="42" ht="15.75" customHeight="1">
      <c r="B42" s="38" t="s">
        <v>21</v>
      </c>
      <c r="C42" s="39"/>
      <c r="F42" s="76"/>
      <c r="P42" s="82"/>
      <c r="T42" s="7"/>
      <c r="U42" s="7"/>
      <c r="V42" s="7"/>
      <c r="W42" s="59"/>
      <c r="X42" s="7"/>
    </row>
    <row r="43" ht="15.75" customHeight="1">
      <c r="B43" s="7"/>
      <c r="C43" s="61"/>
      <c r="F43" s="76"/>
      <c r="P43" s="82"/>
      <c r="T43" s="7"/>
      <c r="U43" s="7"/>
      <c r="V43" s="7"/>
      <c r="W43" s="59"/>
      <c r="X43" s="7"/>
    </row>
    <row r="44" ht="15.75" customHeight="1">
      <c r="B44" s="8" t="s">
        <v>0</v>
      </c>
      <c r="C44" s="9"/>
      <c r="F44" s="76"/>
      <c r="P44" s="82"/>
      <c r="T44" s="7"/>
      <c r="U44" s="7"/>
      <c r="V44" s="7"/>
      <c r="W44" s="59"/>
      <c r="X44" s="7"/>
    </row>
    <row r="45" ht="15.75" customHeight="1">
      <c r="B45" s="17" t="s">
        <v>4</v>
      </c>
      <c r="C45" s="18" t="str">
        <f>IF(C44="", "", IFERROR(VLOOKUP(C44, 'Food Chart'!A:B, 2, FALSE), ""))</f>
        <v/>
      </c>
      <c r="F45" s="76"/>
      <c r="P45" s="82"/>
      <c r="T45" s="7"/>
      <c r="U45" s="7"/>
      <c r="V45" s="7"/>
      <c r="W45" s="59"/>
      <c r="X45" s="7"/>
    </row>
    <row r="46" ht="15.75" customHeight="1">
      <c r="B46" s="21" t="s">
        <v>6</v>
      </c>
      <c r="C46" s="22" t="str">
        <f>IF(C44="", "", IFERROR(VLOOKUP(C44, 'Food Chart'!A:C, 3, FALSE), ""))</f>
        <v/>
      </c>
      <c r="D46" s="65" t="str">
        <f>IF(C44="", "", IFERROR(VLOOKUP(C44, 'Food Chart'!A:D, 4, FALSE), ""))</f>
        <v/>
      </c>
      <c r="F46" s="76"/>
      <c r="P46" s="82"/>
      <c r="T46" s="7"/>
      <c r="U46" s="7"/>
      <c r="V46" s="7"/>
      <c r="W46" s="59"/>
      <c r="X46" s="7"/>
    </row>
    <row r="47" ht="15.75" customHeight="1">
      <c r="B47" s="21" t="s">
        <v>19</v>
      </c>
      <c r="C47" s="30"/>
      <c r="F47" s="76"/>
      <c r="P47" s="82"/>
      <c r="T47" s="7"/>
      <c r="U47" s="7"/>
      <c r="V47" s="7"/>
      <c r="W47" s="59"/>
      <c r="X47" s="7"/>
    </row>
    <row r="48" ht="15.75" customHeight="1">
      <c r="B48" s="38" t="s">
        <v>21</v>
      </c>
      <c r="C48" s="39"/>
      <c r="F48" s="76"/>
      <c r="P48" s="82"/>
      <c r="T48" s="7"/>
      <c r="U48" s="7"/>
      <c r="V48" s="7"/>
      <c r="W48" s="59"/>
      <c r="X48" s="7"/>
    </row>
    <row r="49" ht="15.75" customHeight="1">
      <c r="B49" s="7"/>
      <c r="C49" s="72"/>
      <c r="F49" s="76"/>
      <c r="P49" s="82"/>
      <c r="T49" s="7"/>
      <c r="U49" s="7"/>
      <c r="V49" s="7"/>
      <c r="W49" s="59"/>
      <c r="X49" s="7"/>
    </row>
    <row r="50" ht="15.75" customHeight="1">
      <c r="B50" s="8" t="s">
        <v>0</v>
      </c>
      <c r="C50" s="9"/>
      <c r="F50" s="76"/>
      <c r="P50" s="82"/>
      <c r="T50" s="7"/>
      <c r="U50" s="7"/>
      <c r="V50" s="7"/>
      <c r="W50" s="59"/>
      <c r="X50" s="7"/>
    </row>
    <row r="51" ht="15.75" customHeight="1">
      <c r="B51" s="17" t="s">
        <v>4</v>
      </c>
      <c r="C51" s="18" t="str">
        <f>IF(C50="", "", IFERROR(VLOOKUP(C50, 'Food Chart'!A:B, 2, FALSE), ""))</f>
        <v/>
      </c>
      <c r="F51" s="76"/>
      <c r="P51" s="82"/>
      <c r="T51" s="7"/>
      <c r="U51" s="7"/>
      <c r="V51" s="7"/>
      <c r="W51" s="59"/>
      <c r="X51" s="7"/>
    </row>
    <row r="52" ht="15.75" customHeight="1">
      <c r="B52" s="21" t="s">
        <v>6</v>
      </c>
      <c r="C52" s="22" t="str">
        <f>IF(C50="", "", IFERROR(VLOOKUP(C50, 'Food Chart'!A:C, 3, FALSE), ""))</f>
        <v/>
      </c>
      <c r="D52" s="65" t="str">
        <f>IF(C50="", "", IFERROR(VLOOKUP(C50, 'Food Chart'!A:D, 4, FALSE), ""))</f>
        <v/>
      </c>
      <c r="F52" s="76"/>
      <c r="P52" s="82"/>
      <c r="T52" s="7"/>
      <c r="U52" s="7"/>
      <c r="V52" s="7"/>
      <c r="W52" s="59"/>
      <c r="X52" s="7"/>
    </row>
    <row r="53" ht="15.75" customHeight="1">
      <c r="B53" s="21" t="s">
        <v>19</v>
      </c>
      <c r="C53" s="30"/>
      <c r="F53" s="76"/>
      <c r="P53" s="82"/>
      <c r="T53" s="7"/>
      <c r="U53" s="7"/>
      <c r="V53" s="7"/>
      <c r="W53" s="59"/>
      <c r="X53" s="7"/>
    </row>
    <row r="54" ht="15.75" customHeight="1">
      <c r="B54" s="38" t="s">
        <v>21</v>
      </c>
      <c r="C54" s="39"/>
      <c r="F54" s="76"/>
      <c r="P54" s="82"/>
      <c r="T54" s="7"/>
      <c r="U54" s="7"/>
      <c r="V54" s="7"/>
      <c r="W54" s="59"/>
      <c r="X54" s="7"/>
    </row>
    <row r="55" ht="15.75" customHeight="1">
      <c r="B55" s="7"/>
      <c r="C55" s="61"/>
      <c r="F55" s="76"/>
      <c r="P55" s="82"/>
      <c r="T55" s="7"/>
      <c r="U55" s="7"/>
      <c r="V55" s="7"/>
      <c r="W55" s="59"/>
      <c r="X55" s="7"/>
    </row>
    <row r="56" ht="15.75" customHeight="1">
      <c r="B56" s="8" t="s">
        <v>0</v>
      </c>
      <c r="C56" s="9"/>
      <c r="F56" s="76"/>
      <c r="P56" s="82"/>
      <c r="T56" s="7"/>
      <c r="U56" s="7"/>
      <c r="V56" s="7"/>
      <c r="W56" s="59"/>
      <c r="X56" s="7"/>
    </row>
    <row r="57" ht="15.75" customHeight="1">
      <c r="B57" s="17" t="s">
        <v>4</v>
      </c>
      <c r="C57" s="18" t="str">
        <f>IF(C56="", "", IFERROR(VLOOKUP(C56, 'Food Chart'!A:B, 2, FALSE), ""))</f>
        <v/>
      </c>
      <c r="F57" s="76"/>
      <c r="P57" s="82"/>
      <c r="T57" s="7"/>
      <c r="U57" s="7"/>
      <c r="V57" s="7"/>
      <c r="W57" s="59"/>
      <c r="X57" s="7"/>
    </row>
    <row r="58" ht="15.75" customHeight="1">
      <c r="B58" s="21" t="s">
        <v>6</v>
      </c>
      <c r="C58" s="22" t="str">
        <f>IF(C56="", "", IFERROR(VLOOKUP(C56, 'Food Chart'!A:C, 3, FALSE), ""))</f>
        <v/>
      </c>
      <c r="D58" s="65" t="str">
        <f>IF(C56="", "", IFERROR(VLOOKUP(C56, 'Food Chart'!A:D, 4, FALSE), ""))</f>
        <v/>
      </c>
      <c r="F58" s="76"/>
      <c r="P58" s="82"/>
      <c r="T58" s="7"/>
      <c r="U58" s="7"/>
      <c r="V58" s="7"/>
      <c r="W58" s="59"/>
      <c r="X58" s="7"/>
    </row>
    <row r="59" ht="15.75" customHeight="1">
      <c r="B59" s="21" t="s">
        <v>19</v>
      </c>
      <c r="C59" s="30"/>
      <c r="F59" s="76"/>
      <c r="P59" s="82"/>
      <c r="T59" s="7"/>
      <c r="U59" s="7"/>
      <c r="V59" s="7"/>
      <c r="W59" s="59"/>
      <c r="X59" s="7"/>
    </row>
    <row r="60" ht="15.75" customHeight="1">
      <c r="B60" s="38" t="s">
        <v>21</v>
      </c>
      <c r="C60" s="39"/>
      <c r="F60" s="76"/>
      <c r="P60" s="82"/>
      <c r="T60" s="7"/>
      <c r="U60" s="7"/>
      <c r="V60" s="7"/>
      <c r="W60" s="59"/>
      <c r="X60" s="7"/>
    </row>
    <row r="61" ht="15.75" customHeight="1">
      <c r="B61" s="7"/>
      <c r="C61" s="59"/>
      <c r="F61" s="76"/>
      <c r="P61" s="82"/>
      <c r="T61" s="7"/>
      <c r="U61" s="7"/>
      <c r="V61" s="7"/>
      <c r="W61" s="59"/>
      <c r="X61" s="7"/>
    </row>
    <row r="62" ht="15.75" customHeight="1">
      <c r="B62" s="8" t="s">
        <v>0</v>
      </c>
      <c r="C62" s="9"/>
      <c r="F62" s="76"/>
      <c r="P62" s="82"/>
      <c r="T62" s="7"/>
      <c r="U62" s="7"/>
      <c r="V62" s="7"/>
      <c r="W62" s="59"/>
      <c r="X62" s="7"/>
    </row>
    <row r="63" ht="15.75" customHeight="1">
      <c r="B63" s="17" t="s">
        <v>4</v>
      </c>
      <c r="C63" s="18" t="str">
        <f>IF(C62="", "", IFERROR(VLOOKUP(C62, 'Food Chart'!A:B, 2, FALSE), ""))</f>
        <v/>
      </c>
      <c r="F63" s="76"/>
      <c r="P63" s="82"/>
      <c r="T63" s="7"/>
      <c r="U63" s="7"/>
      <c r="V63" s="7"/>
      <c r="W63" s="59"/>
      <c r="X63" s="7"/>
    </row>
    <row r="64" ht="15.75" customHeight="1">
      <c r="B64" s="21" t="s">
        <v>6</v>
      </c>
      <c r="C64" s="22" t="str">
        <f>IF(C62="", "", IFERROR(VLOOKUP(C62, 'Food Chart'!A:C, 3, FALSE), ""))</f>
        <v/>
      </c>
      <c r="D64" s="65" t="str">
        <f>IF(C62="", "", IFERROR(VLOOKUP(C62, 'Food Chart'!A:D, 4, FALSE), ""))</f>
        <v/>
      </c>
      <c r="F64" s="76"/>
      <c r="P64" s="82"/>
      <c r="T64" s="7"/>
      <c r="U64" s="7"/>
      <c r="V64" s="7"/>
      <c r="W64" s="59"/>
      <c r="X64" s="7"/>
    </row>
    <row r="65" ht="15.75" customHeight="1">
      <c r="B65" s="21" t="s">
        <v>19</v>
      </c>
      <c r="C65" s="30"/>
      <c r="F65" s="76"/>
      <c r="P65" s="82"/>
      <c r="T65" s="7"/>
      <c r="U65" s="7"/>
      <c r="V65" s="7"/>
      <c r="W65" s="59"/>
      <c r="X65" s="7"/>
    </row>
    <row r="66" ht="15.75" customHeight="1">
      <c r="B66" s="38" t="s">
        <v>21</v>
      </c>
      <c r="C66" s="39"/>
      <c r="F66" s="76"/>
      <c r="P66" s="82"/>
      <c r="T66" s="7"/>
      <c r="U66" s="7"/>
      <c r="V66" s="7"/>
      <c r="W66" s="59"/>
      <c r="X66" s="7"/>
    </row>
    <row r="67" ht="15.75" customHeight="1">
      <c r="B67" s="7"/>
      <c r="C67" s="41"/>
      <c r="F67" s="76"/>
      <c r="P67" s="82"/>
      <c r="T67" s="7"/>
      <c r="U67" s="7"/>
      <c r="V67" s="7"/>
      <c r="W67" s="59"/>
      <c r="X67" s="7"/>
    </row>
    <row r="68" ht="15.75" customHeight="1">
      <c r="B68" s="8" t="s">
        <v>0</v>
      </c>
      <c r="C68" s="9"/>
      <c r="F68" s="76"/>
      <c r="P68" s="82"/>
      <c r="T68" s="7"/>
      <c r="U68" s="7"/>
      <c r="V68" s="7"/>
      <c r="W68" s="59"/>
      <c r="X68" s="7"/>
    </row>
    <row r="69" ht="15.75" customHeight="1">
      <c r="B69" s="17" t="s">
        <v>4</v>
      </c>
      <c r="C69" s="18" t="str">
        <f>IF(C68="", "", IFERROR(VLOOKUP(C68, 'Food Chart'!A:B, 2, FALSE), ""))</f>
        <v/>
      </c>
      <c r="F69" s="76"/>
      <c r="P69" s="82"/>
      <c r="T69" s="7"/>
      <c r="U69" s="7"/>
      <c r="V69" s="7"/>
      <c r="W69" s="59"/>
      <c r="X69" s="7"/>
    </row>
    <row r="70" ht="15.75" customHeight="1">
      <c r="B70" s="21" t="s">
        <v>6</v>
      </c>
      <c r="C70" s="22" t="str">
        <f>IF(C68="", "", IFERROR(VLOOKUP(C68, 'Food Chart'!A:C, 3, FALSE), ""))</f>
        <v/>
      </c>
      <c r="D70" s="65" t="str">
        <f>IF(C68="", "", IFERROR(VLOOKUP(C68, 'Food Chart'!A:D, 4, FALSE), ""))</f>
        <v/>
      </c>
      <c r="F70" s="76"/>
      <c r="P70" s="82"/>
      <c r="T70" s="7"/>
      <c r="U70" s="7"/>
      <c r="V70" s="7"/>
      <c r="W70" s="59"/>
      <c r="X70" s="7"/>
    </row>
    <row r="71" ht="15.75" customHeight="1">
      <c r="B71" s="21" t="s">
        <v>19</v>
      </c>
      <c r="C71" s="30"/>
      <c r="F71" s="76"/>
      <c r="P71" s="82"/>
      <c r="T71" s="7"/>
      <c r="U71" s="7"/>
      <c r="V71" s="7"/>
      <c r="W71" s="59"/>
      <c r="X71" s="7"/>
    </row>
    <row r="72" ht="15.75" customHeight="1">
      <c r="B72" s="38" t="s">
        <v>21</v>
      </c>
      <c r="C72" s="39"/>
      <c r="F72" s="76"/>
      <c r="P72" s="82"/>
      <c r="T72" s="7"/>
      <c r="U72" s="7"/>
      <c r="V72" s="7"/>
      <c r="W72" s="59"/>
      <c r="X72" s="7"/>
    </row>
    <row r="73" ht="15.75" customHeight="1">
      <c r="B73" s="7"/>
      <c r="C73" s="61"/>
      <c r="F73" s="76"/>
      <c r="P73" s="82"/>
      <c r="T73" s="7"/>
      <c r="U73" s="7"/>
      <c r="V73" s="7"/>
      <c r="W73" s="59"/>
      <c r="X73" s="7"/>
    </row>
    <row r="74" ht="15.75" customHeight="1">
      <c r="B74" s="8" t="s">
        <v>0</v>
      </c>
      <c r="C74" s="9"/>
      <c r="F74" s="76"/>
      <c r="P74" s="82"/>
      <c r="T74" s="7"/>
      <c r="U74" s="7"/>
      <c r="V74" s="7"/>
      <c r="W74" s="59"/>
      <c r="X74" s="7"/>
    </row>
    <row r="75" ht="15.75" customHeight="1">
      <c r="B75" s="17" t="s">
        <v>4</v>
      </c>
      <c r="C75" s="18" t="str">
        <f>IF(C74="", "", IFERROR(VLOOKUP(C74, 'Food Chart'!A:B, 2, FALSE), ""))</f>
        <v/>
      </c>
      <c r="F75" s="76"/>
      <c r="P75" s="82"/>
      <c r="T75" s="7"/>
      <c r="U75" s="7"/>
      <c r="V75" s="7"/>
      <c r="W75" s="59"/>
      <c r="X75" s="7"/>
    </row>
    <row r="76" ht="15.75" customHeight="1">
      <c r="B76" s="21" t="s">
        <v>6</v>
      </c>
      <c r="C76" s="22" t="str">
        <f>IF(C74="", "", IFERROR(VLOOKUP(C74, 'Food Chart'!A:C, 3, FALSE), ""))</f>
        <v/>
      </c>
      <c r="D76" s="65" t="str">
        <f>IF(C74="", "", IFERROR(VLOOKUP(C74, 'Food Chart'!A:D, 4, FALSE), ""))</f>
        <v/>
      </c>
      <c r="F76" s="76"/>
      <c r="P76" s="82"/>
      <c r="T76" s="7"/>
      <c r="U76" s="7"/>
      <c r="V76" s="7"/>
      <c r="W76" s="59"/>
      <c r="X76" s="7"/>
    </row>
    <row r="77" ht="15.75" customHeight="1">
      <c r="B77" s="21" t="s">
        <v>19</v>
      </c>
      <c r="C77" s="30"/>
      <c r="F77" s="76"/>
      <c r="P77" s="82"/>
      <c r="T77" s="7"/>
      <c r="U77" s="7"/>
      <c r="V77" s="7"/>
      <c r="W77" s="59"/>
      <c r="X77" s="7"/>
    </row>
    <row r="78" ht="15.75" customHeight="1">
      <c r="B78" s="38" t="s">
        <v>21</v>
      </c>
      <c r="C78" s="39"/>
      <c r="F78" s="76"/>
      <c r="P78" s="82"/>
      <c r="T78" s="7"/>
      <c r="U78" s="7"/>
      <c r="V78" s="7"/>
      <c r="W78" s="59"/>
      <c r="X78" s="7"/>
    </row>
    <row r="79" ht="15.75" customHeight="1">
      <c r="B79" s="7"/>
      <c r="C79" s="72"/>
      <c r="F79" s="76"/>
      <c r="P79" s="82"/>
      <c r="T79" s="7"/>
      <c r="U79" s="7"/>
      <c r="V79" s="7"/>
      <c r="W79" s="59"/>
      <c r="X79" s="7"/>
    </row>
    <row r="80" ht="15.75" customHeight="1">
      <c r="B80" s="8" t="s">
        <v>0</v>
      </c>
      <c r="C80" s="9"/>
      <c r="F80" s="76"/>
      <c r="P80" s="82"/>
      <c r="T80" s="7"/>
      <c r="U80" s="7"/>
      <c r="V80" s="7"/>
      <c r="W80" s="59"/>
      <c r="X80" s="7"/>
    </row>
    <row r="81">
      <c r="B81" s="17" t="s">
        <v>4</v>
      </c>
      <c r="C81" s="18" t="str">
        <f>IF(C80="", "", IFERROR(VLOOKUP(C80, 'Food Chart'!A:B, 2, FALSE), ""))</f>
        <v/>
      </c>
      <c r="F81" s="76"/>
      <c r="P81" s="82"/>
      <c r="T81" s="7"/>
      <c r="U81" s="7"/>
      <c r="V81" s="7"/>
      <c r="W81" s="59"/>
      <c r="X81" s="7"/>
    </row>
    <row r="82">
      <c r="B82" s="21" t="s">
        <v>6</v>
      </c>
      <c r="C82" s="22" t="str">
        <f>IF(C80="", "", IFERROR(VLOOKUP(C80, 'Food Chart'!A:C, 3, FALSE), ""))</f>
        <v/>
      </c>
      <c r="D82" s="65" t="str">
        <f>IF(C80="", "", IFERROR(VLOOKUP(C80, 'Food Chart'!A:D, 4, FALSE), ""))</f>
        <v/>
      </c>
      <c r="F82" s="76"/>
      <c r="P82" s="82"/>
      <c r="T82" s="7"/>
      <c r="U82" s="7"/>
      <c r="V82" s="7"/>
      <c r="W82" s="59"/>
      <c r="X82" s="7"/>
    </row>
    <row r="83">
      <c r="B83" s="21" t="s">
        <v>19</v>
      </c>
      <c r="C83" s="30"/>
      <c r="F83" s="76"/>
      <c r="P83" s="82"/>
      <c r="T83" s="7"/>
      <c r="U83" s="7"/>
      <c r="V83" s="7"/>
      <c r="W83" s="59"/>
      <c r="X83" s="7"/>
    </row>
    <row r="84">
      <c r="B84" s="38" t="s">
        <v>21</v>
      </c>
      <c r="C84" s="39"/>
      <c r="F84" s="76"/>
      <c r="P84" s="82"/>
      <c r="T84" s="7"/>
      <c r="U84" s="7"/>
      <c r="V84" s="7"/>
      <c r="W84" s="59"/>
      <c r="X84" s="7"/>
    </row>
    <row r="85">
      <c r="B85" s="7"/>
      <c r="C85" s="61"/>
      <c r="F85" s="76"/>
      <c r="P85" s="82"/>
      <c r="T85" s="7"/>
      <c r="U85" s="7"/>
      <c r="V85" s="7"/>
      <c r="W85" s="59"/>
      <c r="X85" s="7"/>
    </row>
    <row r="86">
      <c r="B86" s="8" t="s">
        <v>0</v>
      </c>
      <c r="C86" s="9"/>
      <c r="F86" s="76"/>
      <c r="P86" s="82"/>
      <c r="T86" s="7"/>
      <c r="U86" s="7"/>
      <c r="V86" s="7"/>
      <c r="W86" s="59"/>
      <c r="X86" s="7"/>
    </row>
    <row r="87">
      <c r="B87" s="17" t="s">
        <v>4</v>
      </c>
      <c r="C87" s="18" t="str">
        <f>IF(C86="", "", IFERROR(VLOOKUP(C86, 'Food Chart'!A:B, 2, FALSE), ""))</f>
        <v/>
      </c>
      <c r="F87" s="76"/>
      <c r="P87" s="82"/>
      <c r="T87" s="7"/>
      <c r="U87" s="7"/>
      <c r="V87" s="7"/>
      <c r="W87" s="59"/>
      <c r="X87" s="7"/>
    </row>
    <row r="88">
      <c r="B88" s="21" t="s">
        <v>6</v>
      </c>
      <c r="C88" s="22" t="str">
        <f>IF(C86="", "", IFERROR(VLOOKUP(C86, 'Food Chart'!A:C, 3, FALSE), ""))</f>
        <v/>
      </c>
      <c r="D88" s="65" t="str">
        <f>IF(C86="", "", IFERROR(VLOOKUP(C86, 'Food Chart'!A:D, 4, FALSE), ""))</f>
        <v/>
      </c>
      <c r="F88" s="76"/>
      <c r="P88" s="82"/>
      <c r="T88" s="7"/>
      <c r="U88" s="7"/>
      <c r="V88" s="7"/>
      <c r="W88" s="59"/>
      <c r="X88" s="7"/>
    </row>
    <row r="89">
      <c r="B89" s="21" t="s">
        <v>19</v>
      </c>
      <c r="C89" s="30"/>
      <c r="F89" s="76"/>
      <c r="P89" s="82"/>
      <c r="T89" s="7"/>
      <c r="U89" s="7"/>
      <c r="V89" s="7"/>
      <c r="W89" s="59"/>
      <c r="X89" s="7"/>
    </row>
    <row r="90">
      <c r="B90" s="38" t="s">
        <v>21</v>
      </c>
      <c r="C90" s="39"/>
      <c r="F90" s="76"/>
      <c r="P90" s="82"/>
      <c r="T90" s="7"/>
      <c r="U90" s="7"/>
      <c r="V90" s="7"/>
      <c r="W90" s="59"/>
      <c r="X90" s="7"/>
    </row>
    <row r="91">
      <c r="B91" s="7"/>
      <c r="C91" s="59"/>
      <c r="F91" s="76"/>
      <c r="P91" s="82"/>
      <c r="T91" s="7"/>
      <c r="U91" s="7"/>
      <c r="V91" s="7"/>
      <c r="W91" s="59"/>
      <c r="X91" s="7"/>
    </row>
  </sheetData>
  <mergeCells count="8">
    <mergeCell ref="I2:M2"/>
    <mergeCell ref="P2:W2"/>
    <mergeCell ref="E13:E14"/>
    <mergeCell ref="F13:F14"/>
    <mergeCell ref="E22:F22"/>
    <mergeCell ref="E23:F23"/>
    <mergeCell ref="E24:F24"/>
    <mergeCell ref="E25:F25"/>
  </mergeCells>
  <dataValidations>
    <dataValidation type="list" allowBlank="1" sqref="C2 C8 C14 C20 C26 C32 C38 C44 C50 C56 C62 C68 C74 C80 C86">
      <formula1>'Food Chart'!$A$2:$A$1000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16.13"/>
    <col customWidth="1" min="3" max="3" width="32.0"/>
    <col customWidth="1" min="4" max="4" width="5.13"/>
    <col customWidth="1" min="5" max="5" width="30.75"/>
    <col customWidth="1" min="6" max="6" width="9.25"/>
    <col customWidth="1" min="7" max="8" width="5.13"/>
    <col customWidth="1" min="9" max="9" width="15.13"/>
    <col customWidth="1" min="10" max="10" width="17.88"/>
    <col customWidth="1" min="11" max="11" width="6.13"/>
    <col customWidth="1" min="12" max="12" width="6.63"/>
    <col customWidth="1" min="13" max="13" width="7.13"/>
    <col customWidth="1" min="14" max="15" width="2.75"/>
    <col customWidth="1" min="16" max="16" width="12.38"/>
    <col customWidth="1" min="17" max="17" width="11.13"/>
    <col customWidth="1" min="18" max="18" width="14.75"/>
    <col customWidth="1" min="19" max="19" width="12.5"/>
    <col customWidth="1" min="20" max="20" width="9.75"/>
    <col customWidth="1" min="21" max="21" width="2.75"/>
    <col customWidth="1" min="22" max="22" width="13.75"/>
    <col customWidth="1" min="23" max="23" width="4.88"/>
    <col customWidth="1" min="24" max="24" width="2.75"/>
  </cols>
  <sheetData>
    <row r="1" ht="7.5" customHeight="1">
      <c r="A1" s="1"/>
      <c r="B1" s="2"/>
      <c r="C1" s="3"/>
      <c r="D1" s="4"/>
      <c r="E1" s="4"/>
      <c r="F1" s="5"/>
      <c r="G1" s="4"/>
      <c r="H1" s="4"/>
      <c r="I1" s="4"/>
      <c r="J1" s="4"/>
      <c r="K1" s="4"/>
      <c r="L1" s="4"/>
      <c r="M1" s="4"/>
      <c r="N1" s="4"/>
      <c r="O1" s="4"/>
      <c r="P1" s="6"/>
      <c r="Q1" s="4"/>
      <c r="R1" s="4"/>
      <c r="S1" s="4"/>
      <c r="T1" s="2"/>
      <c r="U1" s="2"/>
      <c r="V1" s="2"/>
      <c r="W1" s="3"/>
      <c r="X1" s="7"/>
    </row>
    <row r="2" ht="15.75" customHeight="1">
      <c r="A2" s="1"/>
      <c r="B2" s="8" t="s">
        <v>0</v>
      </c>
      <c r="C2" s="9"/>
      <c r="D2" s="10"/>
      <c r="E2" s="11" t="s">
        <v>56</v>
      </c>
      <c r="F2" s="12">
        <v>20.8</v>
      </c>
      <c r="G2" s="4"/>
      <c r="H2" s="4"/>
      <c r="I2" s="13" t="s">
        <v>2</v>
      </c>
      <c r="J2" s="14"/>
      <c r="K2" s="14"/>
      <c r="L2" s="14"/>
      <c r="M2" s="15"/>
      <c r="N2" s="4"/>
      <c r="O2" s="4"/>
      <c r="P2" s="16" t="s">
        <v>3</v>
      </c>
      <c r="Q2" s="14"/>
      <c r="R2" s="14"/>
      <c r="S2" s="14"/>
      <c r="T2" s="14"/>
      <c r="U2" s="14"/>
      <c r="V2" s="14"/>
      <c r="W2" s="15"/>
      <c r="X2" s="7"/>
    </row>
    <row r="3" ht="15.75" customHeight="1">
      <c r="A3" s="1"/>
      <c r="B3" s="17" t="s">
        <v>4</v>
      </c>
      <c r="C3" s="18" t="str">
        <f>IF(C2="", "", IFERROR(VLOOKUP(C2, 'Food Chart'!A:B, 2, FALSE), ""))</f>
        <v/>
      </c>
      <c r="D3" s="4"/>
      <c r="E3" s="19" t="s">
        <v>57</v>
      </c>
      <c r="F3" s="20">
        <v>6.2</v>
      </c>
      <c r="G3" s="4"/>
      <c r="H3" s="4"/>
      <c r="I3" s="4"/>
      <c r="J3" s="4"/>
      <c r="K3" s="4"/>
      <c r="L3" s="4"/>
      <c r="M3" s="4"/>
      <c r="N3" s="4"/>
      <c r="O3" s="4"/>
      <c r="P3" s="6"/>
      <c r="Q3" s="4"/>
      <c r="R3" s="4"/>
      <c r="S3" s="4"/>
      <c r="T3" s="2"/>
      <c r="U3" s="2"/>
      <c r="V3" s="2"/>
      <c r="W3" s="3"/>
      <c r="X3" s="7"/>
    </row>
    <row r="4" ht="15.75" customHeight="1">
      <c r="A4" s="1"/>
      <c r="B4" s="21" t="s">
        <v>6</v>
      </c>
      <c r="C4" s="22" t="str">
        <f>IF(C2="", "", IFERROR(VLOOKUP(C2, 'Food Chart'!A:C, 3, FALSE), ""))</f>
        <v/>
      </c>
      <c r="D4" s="4" t="str">
        <f>IF(C2="", "", IFERROR(VLOOKUP(C2, 'Food Chart'!A:D, 4, FALSE), ""))</f>
        <v/>
      </c>
      <c r="E4" s="23" t="s">
        <v>58</v>
      </c>
      <c r="F4" s="24">
        <v>8.5</v>
      </c>
      <c r="G4" s="4"/>
      <c r="H4" s="4"/>
      <c r="I4" s="25" t="s">
        <v>8</v>
      </c>
      <c r="J4" s="25" t="s">
        <v>9</v>
      </c>
      <c r="K4" s="25" t="s">
        <v>10</v>
      </c>
      <c r="L4" s="25" t="s">
        <v>11</v>
      </c>
      <c r="M4" s="25" t="s">
        <v>12</v>
      </c>
      <c r="N4" s="4"/>
      <c r="O4" s="4"/>
      <c r="P4" s="26" t="s">
        <v>13</v>
      </c>
      <c r="Q4" s="25" t="s">
        <v>14</v>
      </c>
      <c r="R4" s="25" t="s">
        <v>15</v>
      </c>
      <c r="S4" s="25" t="s">
        <v>16</v>
      </c>
      <c r="T4" s="27" t="s">
        <v>17</v>
      </c>
      <c r="U4" s="2"/>
      <c r="V4" s="28" t="s">
        <v>18</v>
      </c>
      <c r="W4" s="29"/>
      <c r="X4" s="7"/>
    </row>
    <row r="5" ht="15.75" customHeight="1">
      <c r="A5" s="4"/>
      <c r="B5" s="21" t="s">
        <v>19</v>
      </c>
      <c r="C5" s="30"/>
      <c r="D5" s="4"/>
      <c r="E5" s="2"/>
      <c r="F5" s="31"/>
      <c r="G5" s="4"/>
      <c r="H5" s="4"/>
      <c r="I5" s="32"/>
      <c r="J5" s="33"/>
      <c r="K5" s="34"/>
      <c r="L5" s="33"/>
      <c r="M5" s="33"/>
      <c r="N5" s="4"/>
      <c r="O5" s="4"/>
      <c r="P5" s="35"/>
      <c r="Q5" s="33"/>
      <c r="R5" s="33"/>
      <c r="S5" s="33"/>
      <c r="T5" s="36"/>
      <c r="U5" s="2"/>
      <c r="V5" s="28" t="s">
        <v>20</v>
      </c>
      <c r="W5" s="37"/>
      <c r="X5" s="7"/>
    </row>
    <row r="6" ht="15.75" customHeight="1">
      <c r="A6" s="10"/>
      <c r="B6" s="38" t="s">
        <v>21</v>
      </c>
      <c r="C6" s="39"/>
      <c r="D6" s="4"/>
      <c r="E6" s="11" t="s">
        <v>59</v>
      </c>
      <c r="F6" s="40">
        <v>10.4</v>
      </c>
      <c r="G6" s="10" t="s">
        <v>41</v>
      </c>
      <c r="H6" s="4"/>
      <c r="I6" s="32"/>
      <c r="J6" s="33"/>
      <c r="K6" s="34"/>
      <c r="L6" s="33"/>
      <c r="M6" s="33"/>
      <c r="N6" s="4"/>
      <c r="O6" s="4"/>
      <c r="P6" s="35"/>
      <c r="Q6" s="33"/>
      <c r="R6" s="33"/>
      <c r="S6" s="33"/>
      <c r="T6" s="36"/>
      <c r="U6" s="2"/>
      <c r="V6" s="28" t="s">
        <v>23</v>
      </c>
      <c r="W6" s="37"/>
      <c r="X6" s="7"/>
    </row>
    <row r="7" ht="15.75" customHeight="1">
      <c r="A7" s="10"/>
      <c r="B7" s="7"/>
      <c r="C7" s="41"/>
      <c r="D7" s="10"/>
      <c r="E7" s="23" t="s">
        <v>60</v>
      </c>
      <c r="F7" s="42"/>
      <c r="G7" s="4"/>
      <c r="H7" s="4"/>
      <c r="I7" s="32"/>
      <c r="J7" s="33"/>
      <c r="K7" s="34"/>
      <c r="L7" s="33"/>
      <c r="M7" s="33"/>
      <c r="N7" s="4"/>
      <c r="O7" s="4"/>
      <c r="P7" s="35"/>
      <c r="Q7" s="33"/>
      <c r="R7" s="33"/>
      <c r="S7" s="33"/>
      <c r="T7" s="36"/>
      <c r="U7" s="2"/>
      <c r="V7" s="28" t="s">
        <v>25</v>
      </c>
      <c r="W7" s="43"/>
      <c r="X7" s="7"/>
    </row>
    <row r="8" ht="15.75" customHeight="1">
      <c r="A8" s="4"/>
      <c r="B8" s="8" t="s">
        <v>0</v>
      </c>
      <c r="C8" s="9"/>
      <c r="D8" s="4"/>
      <c r="E8" s="44" t="s">
        <v>61</v>
      </c>
      <c r="F8" s="42"/>
      <c r="G8" s="4"/>
      <c r="H8" s="4"/>
      <c r="I8" s="32"/>
      <c r="J8" s="33"/>
      <c r="K8" s="34"/>
      <c r="L8" s="33"/>
      <c r="M8" s="33"/>
      <c r="N8" s="4"/>
      <c r="O8" s="4"/>
      <c r="P8" s="35"/>
      <c r="Q8" s="33"/>
      <c r="R8" s="33"/>
      <c r="S8" s="33"/>
      <c r="T8" s="36"/>
      <c r="U8" s="2"/>
      <c r="W8" s="45"/>
      <c r="X8" s="7"/>
    </row>
    <row r="9" ht="15.75" customHeight="1">
      <c r="A9" s="10"/>
      <c r="B9" s="17" t="s">
        <v>4</v>
      </c>
      <c r="C9" s="18" t="str">
        <f>IF(C8="", "", IFERROR(VLOOKUP(C8, 'Food Chart'!A:B, 2, FALSE), ""))</f>
        <v/>
      </c>
      <c r="D9" s="4"/>
      <c r="E9" s="31"/>
      <c r="F9" s="46"/>
      <c r="G9" s="4"/>
      <c r="H9" s="4"/>
      <c r="I9" s="32"/>
      <c r="J9" s="33"/>
      <c r="K9" s="34"/>
      <c r="L9" s="33"/>
      <c r="M9" s="33"/>
      <c r="N9" s="4"/>
      <c r="O9" s="4"/>
      <c r="P9" s="35"/>
      <c r="Q9" s="47"/>
      <c r="R9" s="47"/>
      <c r="S9" s="47"/>
      <c r="T9" s="48"/>
      <c r="U9" s="2"/>
      <c r="V9" s="28" t="s">
        <v>16</v>
      </c>
      <c r="W9" s="49"/>
      <c r="X9" s="7"/>
    </row>
    <row r="10" ht="15.75" customHeight="1">
      <c r="A10" s="50"/>
      <c r="B10" s="21" t="s">
        <v>6</v>
      </c>
      <c r="C10" s="22" t="str">
        <f>IF(C8="", "", IFERROR(VLOOKUP(C8, 'Food Chart'!A:C, 3, FALSE), ""))</f>
        <v/>
      </c>
      <c r="D10" s="4" t="str">
        <f>IF(C8="", "", IFERROR(VLOOKUP(C8, 'Food Chart'!A:D, 4, FALSE), ""))</f>
        <v/>
      </c>
      <c r="E10" s="11" t="s">
        <v>62</v>
      </c>
      <c r="F10" s="51">
        <v>1.22</v>
      </c>
      <c r="G10" s="4"/>
      <c r="H10" s="4"/>
      <c r="I10" s="32"/>
      <c r="J10" s="33"/>
      <c r="K10" s="34"/>
      <c r="L10" s="33"/>
      <c r="M10" s="33"/>
      <c r="N10" s="4"/>
      <c r="O10" s="4"/>
      <c r="P10" s="35"/>
      <c r="Q10" s="47"/>
      <c r="R10" s="47"/>
      <c r="S10" s="47"/>
      <c r="T10" s="48"/>
      <c r="U10" s="2"/>
      <c r="V10" s="28" t="s">
        <v>28</v>
      </c>
      <c r="W10" s="37"/>
      <c r="X10" s="7"/>
    </row>
    <row r="11" ht="15.75" customHeight="1">
      <c r="B11" s="21" t="s">
        <v>19</v>
      </c>
      <c r="C11" s="30"/>
      <c r="E11" s="23" t="s">
        <v>63</v>
      </c>
      <c r="F11" s="55">
        <v>15.2</v>
      </c>
      <c r="P11" s="84"/>
      <c r="Q11" s="85"/>
      <c r="R11" s="85"/>
      <c r="S11" s="85"/>
      <c r="T11" s="86"/>
      <c r="U11" s="7"/>
      <c r="V11" s="7"/>
      <c r="W11" s="59"/>
      <c r="X11" s="7"/>
    </row>
    <row r="12" ht="15.75" customHeight="1">
      <c r="B12" s="38" t="s">
        <v>21</v>
      </c>
      <c r="C12" s="39"/>
      <c r="D12" s="60"/>
      <c r="P12" s="84"/>
      <c r="Q12" s="85"/>
      <c r="R12" s="85"/>
      <c r="S12" s="85"/>
      <c r="T12" s="86"/>
      <c r="U12" s="7"/>
      <c r="V12" s="7"/>
      <c r="W12" s="59"/>
      <c r="X12" s="7"/>
    </row>
    <row r="13" ht="15.75" customHeight="1">
      <c r="B13" s="7"/>
      <c r="C13" s="61"/>
      <c r="E13" s="62" t="s">
        <v>30</v>
      </c>
      <c r="F13" s="63">
        <f>IF(OR(F2&lt;=0,F4&lt;=0),"",IF(AND(F6=0,F7=0),"",FLOOR(MAX(0,IF(F2&gt;0,F7/F2,0)+IF(AND(F4&gt;0,F3&gt;0,F6&gt;0),(F6-F3)/F4,0)-IF(F10&gt;0,F10,0)-IF(F11&gt;0,F11/F2,0)),0.05)))</f>
        <v>0</v>
      </c>
      <c r="P13" s="84"/>
      <c r="Q13" s="85"/>
      <c r="R13" s="85"/>
      <c r="S13" s="85"/>
      <c r="T13" s="86"/>
      <c r="U13" s="7"/>
      <c r="V13" s="7"/>
      <c r="W13" s="59"/>
      <c r="X13" s="7"/>
    </row>
    <row r="14" ht="15.75" customHeight="1">
      <c r="B14" s="8" t="s">
        <v>0</v>
      </c>
      <c r="C14" s="9"/>
      <c r="E14" s="64"/>
      <c r="F14" s="64"/>
      <c r="P14" s="84"/>
      <c r="Q14" s="85"/>
      <c r="R14" s="85"/>
      <c r="S14" s="85"/>
      <c r="T14" s="86"/>
      <c r="U14" s="7"/>
      <c r="V14" s="7"/>
      <c r="W14" s="59"/>
      <c r="X14" s="7"/>
    </row>
    <row r="15" ht="15.75" customHeight="1">
      <c r="B15" s="17" t="s">
        <v>4</v>
      </c>
      <c r="C15" s="18" t="str">
        <f>IF(C14="", "", IFERROR(VLOOKUP(C14, 'Food Chart'!A:B, 2, FALSE), ""))</f>
        <v/>
      </c>
      <c r="P15" s="56"/>
      <c r="Q15" s="57"/>
      <c r="R15" s="57"/>
      <c r="S15" s="57"/>
      <c r="T15" s="58"/>
      <c r="U15" s="7"/>
      <c r="V15" s="7"/>
      <c r="W15" s="59"/>
      <c r="X15" s="7"/>
    </row>
    <row r="16" ht="15.75" customHeight="1">
      <c r="B16" s="21" t="s">
        <v>6</v>
      </c>
      <c r="C16" s="22" t="str">
        <f>IF(C14="", "", IFERROR(VLOOKUP(C14, 'Food Chart'!A:C, 3, FALSE), ""))</f>
        <v/>
      </c>
      <c r="D16" s="65" t="str">
        <f>IF(C14="", "", IFERROR(VLOOKUP(C14, 'Food Chart'!A:D, 4, FALSE), ""))</f>
        <v/>
      </c>
      <c r="E16" s="66" t="str">
        <f>IFERROR(__xludf.DUMMYFUNCTION("IF(F14="""", ""Bolus time"",
   IF(ISTEXT(F14),
      F14,
      REGEXREPLACE(REGEXREPLACE(TEXT(FLOOR(F14, 0.05), ""0.00""), ""([.,]\d)0$"", ""$1""), ""[.,]0$"", """")
   ) &amp; "" U bolus at""
)"),"Bolus time")</f>
        <v>Bolus time</v>
      </c>
      <c r="F16" s="67"/>
      <c r="P16" s="56"/>
      <c r="Q16" s="57"/>
      <c r="R16" s="57"/>
      <c r="S16" s="57"/>
      <c r="T16" s="58"/>
      <c r="U16" s="7"/>
      <c r="V16" s="7"/>
      <c r="W16" s="59"/>
      <c r="X16" s="7"/>
    </row>
    <row r="17" ht="15.75" customHeight="1">
      <c r="B17" s="21" t="s">
        <v>19</v>
      </c>
      <c r="C17" s="30"/>
      <c r="D17" s="60"/>
      <c r="E17" s="68" t="s">
        <v>32</v>
      </c>
      <c r="F17" s="69"/>
      <c r="J17" s="60" t="s">
        <v>33</v>
      </c>
      <c r="P17" s="56"/>
      <c r="Q17" s="57"/>
      <c r="R17" s="57"/>
      <c r="S17" s="57"/>
      <c r="T17" s="58"/>
      <c r="U17" s="7"/>
      <c r="V17" s="7"/>
      <c r="W17" s="70"/>
      <c r="X17" s="71"/>
    </row>
    <row r="18" ht="15.75" customHeight="1">
      <c r="B18" s="38" t="s">
        <v>21</v>
      </c>
      <c r="C18" s="39"/>
      <c r="E18" s="68" t="s">
        <v>64</v>
      </c>
      <c r="F18" s="69"/>
      <c r="P18" s="56"/>
      <c r="Q18" s="57"/>
      <c r="R18" s="57"/>
      <c r="S18" s="57"/>
      <c r="T18" s="58"/>
      <c r="U18" s="7"/>
      <c r="V18" s="7"/>
      <c r="W18" s="70"/>
      <c r="X18" s="71"/>
    </row>
    <row r="19" ht="15.75" customHeight="1">
      <c r="B19" s="7"/>
      <c r="C19" s="72"/>
      <c r="E19" s="73" t="s">
        <v>35</v>
      </c>
      <c r="F19" s="74" t="str">
        <f>IF(OR(F18="",F16=""),"",ROUND((F18-F16)*24*60,0)&amp;" minutes")</f>
        <v/>
      </c>
      <c r="P19" s="56"/>
      <c r="Q19" s="57"/>
      <c r="R19" s="57"/>
      <c r="S19" s="57"/>
      <c r="T19" s="58"/>
      <c r="U19" s="7"/>
      <c r="V19" s="7"/>
      <c r="W19" s="59"/>
      <c r="X19" s="7"/>
    </row>
    <row r="20" ht="15.75" customHeight="1">
      <c r="B20" s="8" t="s">
        <v>0</v>
      </c>
      <c r="C20" s="9"/>
      <c r="F20" s="76"/>
      <c r="P20" s="56"/>
      <c r="Q20" s="57"/>
      <c r="R20" s="57"/>
      <c r="S20" s="57"/>
      <c r="T20" s="58"/>
      <c r="U20" s="7"/>
      <c r="V20" s="7"/>
      <c r="W20" s="59"/>
      <c r="X20" s="7"/>
    </row>
    <row r="21" ht="15.75" customHeight="1">
      <c r="B21" s="17" t="s">
        <v>4</v>
      </c>
      <c r="C21" s="18" t="str">
        <f>IF(C20="", "", IFERROR(VLOOKUP(C20, 'Food Chart'!A:B, 2, FALSE), ""))</f>
        <v/>
      </c>
      <c r="P21" s="56"/>
      <c r="Q21" s="57"/>
      <c r="R21" s="57"/>
      <c r="S21" s="57"/>
      <c r="T21" s="58"/>
      <c r="U21" s="7"/>
      <c r="V21" s="7"/>
      <c r="W21" s="59"/>
      <c r="X21" s="7"/>
    </row>
    <row r="22" ht="15.75" customHeight="1">
      <c r="B22" s="21" t="s">
        <v>6</v>
      </c>
      <c r="C22" s="22" t="str">
        <f>IF(C20="", "", IFERROR(VLOOKUP(C20, 'Food Chart'!A:C, 3, FALSE), ""))</f>
        <v/>
      </c>
      <c r="D22" s="60" t="str">
        <f>IF(C20="", "", IFERROR(VLOOKUP(C20, 'Food Chart'!A:D, 4, FALSE), ""))</f>
        <v/>
      </c>
      <c r="E22" s="77" t="s">
        <v>36</v>
      </c>
      <c r="F22" s="78"/>
      <c r="P22" s="56"/>
      <c r="Q22" s="57"/>
      <c r="R22" s="57"/>
      <c r="S22" s="57"/>
      <c r="T22" s="58"/>
      <c r="U22" s="7"/>
      <c r="V22" s="7"/>
      <c r="W22" s="70"/>
      <c r="X22" s="71"/>
    </row>
    <row r="23" ht="15.75" customHeight="1">
      <c r="B23" s="21" t="s">
        <v>19</v>
      </c>
      <c r="C23" s="30"/>
      <c r="E23" s="80"/>
      <c r="F23" s="78"/>
      <c r="P23" s="56"/>
      <c r="Q23" s="57"/>
      <c r="R23" s="57"/>
      <c r="S23" s="57"/>
      <c r="T23" s="58"/>
      <c r="U23" s="7"/>
      <c r="V23" s="7"/>
      <c r="W23" s="70"/>
      <c r="X23" s="71"/>
    </row>
    <row r="24" ht="15.75" customHeight="1">
      <c r="B24" s="38" t="s">
        <v>21</v>
      </c>
      <c r="C24" s="39"/>
      <c r="E24" s="80"/>
      <c r="F24" s="78"/>
      <c r="K24" s="81"/>
      <c r="P24" s="56"/>
      <c r="Q24" s="57"/>
      <c r="R24" s="57"/>
      <c r="S24" s="57"/>
      <c r="T24" s="58"/>
      <c r="U24" s="7"/>
      <c r="V24" s="7"/>
      <c r="W24" s="70"/>
      <c r="X24" s="71"/>
    </row>
    <row r="25" ht="15.75" customHeight="1">
      <c r="B25" s="7"/>
      <c r="C25" s="61"/>
      <c r="E25" s="80"/>
      <c r="F25" s="78"/>
      <c r="P25" s="82"/>
      <c r="T25" s="7"/>
      <c r="U25" s="7"/>
      <c r="V25" s="7"/>
      <c r="W25" s="70"/>
      <c r="X25" s="71"/>
    </row>
    <row r="26" ht="15.75" customHeight="1">
      <c r="B26" s="8" t="s">
        <v>0</v>
      </c>
      <c r="C26" s="9"/>
      <c r="E26" s="83"/>
      <c r="F26" s="83"/>
      <c r="P26" s="82"/>
      <c r="T26" s="7"/>
      <c r="U26" s="7"/>
      <c r="V26" s="7"/>
      <c r="W26" s="59"/>
      <c r="X26" s="7"/>
    </row>
    <row r="27" ht="15.75" customHeight="1">
      <c r="B27" s="17" t="s">
        <v>4</v>
      </c>
      <c r="C27" s="18" t="str">
        <f>IF(C26="", "", IFERROR(VLOOKUP(C26, 'Food Chart'!A:B, 2, FALSE), ""))</f>
        <v/>
      </c>
      <c r="F27" s="76"/>
      <c r="P27" s="82"/>
      <c r="T27" s="7"/>
      <c r="U27" s="7"/>
      <c r="V27" s="7"/>
      <c r="W27" s="70"/>
      <c r="X27" s="71"/>
    </row>
    <row r="28" ht="15.75" customHeight="1">
      <c r="B28" s="21" t="s">
        <v>6</v>
      </c>
      <c r="C28" s="22" t="str">
        <f>IF(C26="", "", IFERROR(VLOOKUP(C26, 'Food Chart'!A:C, 3, FALSE), ""))</f>
        <v/>
      </c>
      <c r="D28" s="65" t="str">
        <f>IF(C26="", "", IFERROR(VLOOKUP(C26, 'Food Chart'!A:D, 4, FALSE), ""))</f>
        <v/>
      </c>
      <c r="F28" s="76"/>
      <c r="P28" s="82"/>
      <c r="T28" s="7"/>
      <c r="U28" s="7"/>
      <c r="V28" s="7"/>
      <c r="W28" s="70"/>
      <c r="X28" s="71"/>
    </row>
    <row r="29" ht="15.75" customHeight="1">
      <c r="B29" s="21" t="s">
        <v>19</v>
      </c>
      <c r="C29" s="30"/>
      <c r="F29" s="76"/>
      <c r="P29" s="82"/>
      <c r="T29" s="7"/>
      <c r="U29" s="7"/>
      <c r="V29" s="7"/>
      <c r="W29" s="70"/>
      <c r="X29" s="71"/>
    </row>
    <row r="30" ht="15.75" customHeight="1">
      <c r="B30" s="38" t="s">
        <v>21</v>
      </c>
      <c r="C30" s="39"/>
      <c r="F30" s="76"/>
      <c r="P30" s="82"/>
      <c r="T30" s="7"/>
      <c r="U30" s="7"/>
      <c r="V30" s="7"/>
      <c r="W30" s="70"/>
      <c r="X30" s="71"/>
    </row>
    <row r="31" ht="15.75" customHeight="1">
      <c r="B31" s="7"/>
      <c r="C31" s="59"/>
      <c r="F31" s="76"/>
      <c r="P31" s="82"/>
      <c r="T31" s="7"/>
      <c r="U31" s="7"/>
      <c r="V31" s="7"/>
      <c r="W31" s="59"/>
      <c r="X31" s="7"/>
    </row>
    <row r="32" ht="15.75" customHeight="1">
      <c r="B32" s="8" t="s">
        <v>0</v>
      </c>
      <c r="C32" s="9"/>
      <c r="F32" s="76"/>
      <c r="P32" s="82"/>
      <c r="T32" s="7"/>
      <c r="U32" s="7"/>
      <c r="V32" s="7"/>
      <c r="W32" s="59"/>
      <c r="X32" s="7"/>
    </row>
    <row r="33" ht="15.75" customHeight="1">
      <c r="B33" s="17" t="s">
        <v>4</v>
      </c>
      <c r="C33" s="18" t="str">
        <f>IF(C32="", "", IFERROR(VLOOKUP(C32, 'Food Chart'!A:B, 2, FALSE), ""))</f>
        <v/>
      </c>
      <c r="F33" s="76"/>
      <c r="P33" s="82"/>
      <c r="T33" s="7"/>
      <c r="U33" s="7"/>
      <c r="V33" s="7"/>
      <c r="W33" s="59"/>
      <c r="X33" s="7"/>
    </row>
    <row r="34" ht="15.75" customHeight="1">
      <c r="B34" s="21" t="s">
        <v>6</v>
      </c>
      <c r="C34" s="22" t="str">
        <f>IF(C32="", "", IFERROR(VLOOKUP(C32, 'Food Chart'!A:C, 3, FALSE), ""))</f>
        <v/>
      </c>
      <c r="D34" s="65" t="str">
        <f>IF(C32="", "", IFERROR(VLOOKUP(C32, 'Food Chart'!A:D, 4, FALSE), ""))</f>
        <v/>
      </c>
      <c r="F34" s="76"/>
      <c r="P34" s="82"/>
      <c r="T34" s="7"/>
      <c r="U34" s="7"/>
      <c r="V34" s="7"/>
      <c r="W34" s="59"/>
      <c r="X34" s="7"/>
    </row>
    <row r="35" ht="15.75" customHeight="1">
      <c r="B35" s="21" t="s">
        <v>19</v>
      </c>
      <c r="C35" s="30"/>
      <c r="F35" s="76"/>
      <c r="P35" s="82"/>
      <c r="T35" s="7"/>
      <c r="U35" s="7"/>
      <c r="V35" s="7"/>
      <c r="W35" s="59"/>
      <c r="X35" s="7"/>
    </row>
    <row r="36" ht="15.75" customHeight="1">
      <c r="B36" s="38" t="s">
        <v>21</v>
      </c>
      <c r="C36" s="39"/>
      <c r="F36" s="76"/>
      <c r="P36" s="82"/>
      <c r="T36" s="7"/>
      <c r="U36" s="7"/>
      <c r="V36" s="7"/>
      <c r="W36" s="59"/>
      <c r="X36" s="7"/>
    </row>
    <row r="37" ht="15.75" customHeight="1">
      <c r="B37" s="7"/>
      <c r="C37" s="41"/>
      <c r="F37" s="76"/>
      <c r="P37" s="82"/>
      <c r="T37" s="7"/>
      <c r="U37" s="7"/>
      <c r="V37" s="7"/>
      <c r="W37" s="59"/>
      <c r="X37" s="7"/>
    </row>
    <row r="38" ht="15.75" customHeight="1">
      <c r="B38" s="8" t="s">
        <v>0</v>
      </c>
      <c r="C38" s="9"/>
      <c r="F38" s="76"/>
      <c r="P38" s="82"/>
      <c r="T38" s="7"/>
      <c r="U38" s="7"/>
      <c r="V38" s="7"/>
      <c r="W38" s="59"/>
      <c r="X38" s="7"/>
    </row>
    <row r="39" ht="15.75" customHeight="1">
      <c r="B39" s="17" t="s">
        <v>4</v>
      </c>
      <c r="C39" s="18" t="str">
        <f>IF(C38="", "", IFERROR(VLOOKUP(C38, 'Food Chart'!A:B, 2, FALSE), ""))</f>
        <v/>
      </c>
      <c r="F39" s="76"/>
      <c r="P39" s="82"/>
      <c r="T39" s="7"/>
      <c r="U39" s="7"/>
      <c r="V39" s="7"/>
      <c r="W39" s="59"/>
      <c r="X39" s="7"/>
    </row>
    <row r="40" ht="15.75" customHeight="1">
      <c r="B40" s="21" t="s">
        <v>6</v>
      </c>
      <c r="C40" s="22" t="str">
        <f>IF(C38="", "", IFERROR(VLOOKUP(C38, 'Food Chart'!A:C, 3, FALSE), ""))</f>
        <v/>
      </c>
      <c r="D40" s="65" t="str">
        <f>IF(C38="", "", IFERROR(VLOOKUP(C38, 'Food Chart'!A:D, 4, FALSE), ""))</f>
        <v/>
      </c>
      <c r="F40" s="76"/>
      <c r="P40" s="82"/>
      <c r="T40" s="7"/>
      <c r="U40" s="7"/>
      <c r="V40" s="7"/>
      <c r="W40" s="59"/>
      <c r="X40" s="7"/>
    </row>
    <row r="41" ht="15.75" customHeight="1">
      <c r="B41" s="21" t="s">
        <v>19</v>
      </c>
      <c r="C41" s="30"/>
      <c r="F41" s="76"/>
      <c r="P41" s="82"/>
      <c r="T41" s="7"/>
      <c r="U41" s="7"/>
      <c r="V41" s="7"/>
      <c r="W41" s="59"/>
      <c r="X41" s="7"/>
    </row>
    <row r="42" ht="15.75" customHeight="1">
      <c r="B42" s="38" t="s">
        <v>21</v>
      </c>
      <c r="C42" s="39"/>
      <c r="F42" s="76"/>
      <c r="P42" s="82"/>
      <c r="T42" s="7"/>
      <c r="U42" s="7"/>
      <c r="V42" s="7"/>
      <c r="W42" s="59"/>
      <c r="X42" s="7"/>
    </row>
    <row r="43" ht="15.75" customHeight="1">
      <c r="B43" s="7"/>
      <c r="C43" s="61"/>
      <c r="F43" s="76"/>
      <c r="P43" s="82"/>
      <c r="T43" s="7"/>
      <c r="U43" s="7"/>
      <c r="V43" s="7"/>
      <c r="W43" s="59"/>
      <c r="X43" s="7"/>
    </row>
    <row r="44" ht="15.75" customHeight="1">
      <c r="B44" s="8" t="s">
        <v>0</v>
      </c>
      <c r="C44" s="9"/>
      <c r="F44" s="76"/>
      <c r="P44" s="82"/>
      <c r="T44" s="7"/>
      <c r="U44" s="7"/>
      <c r="V44" s="7"/>
      <c r="W44" s="59"/>
      <c r="X44" s="7"/>
    </row>
    <row r="45" ht="15.75" customHeight="1">
      <c r="B45" s="17" t="s">
        <v>4</v>
      </c>
      <c r="C45" s="18" t="str">
        <f>IF(C44="", "", IFERROR(VLOOKUP(C44, 'Food Chart'!A:B, 2, FALSE), ""))</f>
        <v/>
      </c>
      <c r="F45" s="76"/>
      <c r="P45" s="82"/>
      <c r="T45" s="7"/>
      <c r="U45" s="7"/>
      <c r="V45" s="7"/>
      <c r="W45" s="59"/>
      <c r="X45" s="7"/>
    </row>
    <row r="46" ht="15.75" customHeight="1">
      <c r="B46" s="21" t="s">
        <v>6</v>
      </c>
      <c r="C46" s="22" t="str">
        <f>IF(C44="", "", IFERROR(VLOOKUP(C44, 'Food Chart'!A:C, 3, FALSE), ""))</f>
        <v/>
      </c>
      <c r="D46" s="65" t="str">
        <f>IF(C44="", "", IFERROR(VLOOKUP(C44, 'Food Chart'!A:D, 4, FALSE), ""))</f>
        <v/>
      </c>
      <c r="F46" s="76"/>
      <c r="P46" s="82"/>
      <c r="T46" s="7"/>
      <c r="U46" s="7"/>
      <c r="V46" s="7"/>
      <c r="W46" s="59"/>
      <c r="X46" s="7"/>
    </row>
    <row r="47" ht="15.75" customHeight="1">
      <c r="B47" s="21" t="s">
        <v>19</v>
      </c>
      <c r="C47" s="30"/>
      <c r="F47" s="76"/>
      <c r="P47" s="82"/>
      <c r="T47" s="7"/>
      <c r="U47" s="7"/>
      <c r="V47" s="7"/>
      <c r="W47" s="59"/>
      <c r="X47" s="7"/>
    </row>
    <row r="48" ht="15.75" customHeight="1">
      <c r="B48" s="38" t="s">
        <v>21</v>
      </c>
      <c r="C48" s="39"/>
      <c r="F48" s="76"/>
      <c r="P48" s="82"/>
      <c r="T48" s="7"/>
      <c r="U48" s="7"/>
      <c r="V48" s="7"/>
      <c r="W48" s="59"/>
      <c r="X48" s="7"/>
    </row>
    <row r="49" ht="15.75" customHeight="1">
      <c r="B49" s="7"/>
      <c r="C49" s="72"/>
      <c r="F49" s="76"/>
      <c r="P49" s="82"/>
      <c r="T49" s="7"/>
      <c r="U49" s="7"/>
      <c r="V49" s="7"/>
      <c r="W49" s="59"/>
      <c r="X49" s="7"/>
    </row>
    <row r="50" ht="15.75" customHeight="1">
      <c r="B50" s="8" t="s">
        <v>0</v>
      </c>
      <c r="C50" s="9"/>
      <c r="F50" s="76"/>
      <c r="P50" s="82"/>
      <c r="T50" s="7"/>
      <c r="U50" s="7"/>
      <c r="V50" s="7"/>
      <c r="W50" s="59"/>
      <c r="X50" s="7"/>
    </row>
    <row r="51" ht="15.75" customHeight="1">
      <c r="B51" s="17" t="s">
        <v>4</v>
      </c>
      <c r="C51" s="18" t="str">
        <f>IF(C50="", "", IFERROR(VLOOKUP(C50, 'Food Chart'!A:B, 2, FALSE), ""))</f>
        <v/>
      </c>
      <c r="F51" s="76"/>
      <c r="P51" s="82"/>
      <c r="T51" s="7"/>
      <c r="U51" s="7"/>
      <c r="V51" s="7"/>
      <c r="W51" s="59"/>
      <c r="X51" s="7"/>
    </row>
    <row r="52" ht="15.75" customHeight="1">
      <c r="B52" s="21" t="s">
        <v>6</v>
      </c>
      <c r="C52" s="22" t="str">
        <f>IF(C50="", "", IFERROR(VLOOKUP(C50, 'Food Chart'!A:C, 3, FALSE), ""))</f>
        <v/>
      </c>
      <c r="D52" s="65" t="str">
        <f>IF(C50="", "", IFERROR(VLOOKUP(C50, 'Food Chart'!A:D, 4, FALSE), ""))</f>
        <v/>
      </c>
      <c r="F52" s="76"/>
      <c r="P52" s="82"/>
      <c r="T52" s="7"/>
      <c r="U52" s="7"/>
      <c r="V52" s="7"/>
      <c r="W52" s="59"/>
      <c r="X52" s="7"/>
    </row>
    <row r="53" ht="15.75" customHeight="1">
      <c r="B53" s="21" t="s">
        <v>19</v>
      </c>
      <c r="C53" s="30"/>
      <c r="F53" s="76"/>
      <c r="P53" s="82"/>
      <c r="T53" s="7"/>
      <c r="U53" s="7"/>
      <c r="V53" s="7"/>
      <c r="W53" s="59"/>
      <c r="X53" s="7"/>
    </row>
    <row r="54" ht="15.75" customHeight="1">
      <c r="B54" s="38" t="s">
        <v>21</v>
      </c>
      <c r="C54" s="39"/>
      <c r="F54" s="76"/>
      <c r="P54" s="82"/>
      <c r="T54" s="7"/>
      <c r="U54" s="7"/>
      <c r="V54" s="7"/>
      <c r="W54" s="59"/>
      <c r="X54" s="7"/>
    </row>
    <row r="55" ht="15.75" customHeight="1">
      <c r="B55" s="7"/>
      <c r="C55" s="61"/>
      <c r="F55" s="76"/>
      <c r="P55" s="82"/>
      <c r="T55" s="7"/>
      <c r="U55" s="7"/>
      <c r="V55" s="7"/>
      <c r="W55" s="59"/>
      <c r="X55" s="7"/>
    </row>
    <row r="56" ht="15.75" customHeight="1">
      <c r="B56" s="8" t="s">
        <v>0</v>
      </c>
      <c r="C56" s="9"/>
      <c r="F56" s="76"/>
      <c r="P56" s="82"/>
      <c r="T56" s="7"/>
      <c r="U56" s="7"/>
      <c r="V56" s="7"/>
      <c r="W56" s="59"/>
      <c r="X56" s="7"/>
    </row>
    <row r="57" ht="15.75" customHeight="1">
      <c r="B57" s="17" t="s">
        <v>4</v>
      </c>
      <c r="C57" s="18" t="str">
        <f>IF(C56="", "", IFERROR(VLOOKUP(C56, 'Food Chart'!A:B, 2, FALSE), ""))</f>
        <v/>
      </c>
      <c r="F57" s="76"/>
      <c r="P57" s="82"/>
      <c r="T57" s="7"/>
      <c r="U57" s="7"/>
      <c r="V57" s="7"/>
      <c r="W57" s="59"/>
      <c r="X57" s="7"/>
    </row>
    <row r="58" ht="15.75" customHeight="1">
      <c r="B58" s="21" t="s">
        <v>6</v>
      </c>
      <c r="C58" s="22" t="str">
        <f>IF(C56="", "", IFERROR(VLOOKUP(C56, 'Food Chart'!A:C, 3, FALSE), ""))</f>
        <v/>
      </c>
      <c r="D58" s="65" t="str">
        <f>IF(C56="", "", IFERROR(VLOOKUP(C56, 'Food Chart'!A:D, 4, FALSE), ""))</f>
        <v/>
      </c>
      <c r="F58" s="76"/>
      <c r="P58" s="82"/>
      <c r="T58" s="7"/>
      <c r="U58" s="7"/>
      <c r="V58" s="7"/>
      <c r="W58" s="59"/>
      <c r="X58" s="7"/>
    </row>
    <row r="59" ht="15.75" customHeight="1">
      <c r="B59" s="21" t="s">
        <v>19</v>
      </c>
      <c r="C59" s="30"/>
      <c r="F59" s="76"/>
      <c r="P59" s="82"/>
      <c r="T59" s="7"/>
      <c r="U59" s="7"/>
      <c r="V59" s="7"/>
      <c r="W59" s="59"/>
      <c r="X59" s="7"/>
    </row>
    <row r="60" ht="15.75" customHeight="1">
      <c r="B60" s="38" t="s">
        <v>21</v>
      </c>
      <c r="C60" s="39"/>
      <c r="F60" s="76"/>
      <c r="P60" s="82"/>
      <c r="T60" s="7"/>
      <c r="U60" s="7"/>
      <c r="V60" s="7"/>
      <c r="W60" s="59"/>
      <c r="X60" s="7"/>
    </row>
    <row r="61" ht="15.75" customHeight="1">
      <c r="B61" s="7"/>
      <c r="C61" s="59"/>
      <c r="F61" s="76"/>
      <c r="P61" s="82"/>
      <c r="T61" s="7"/>
      <c r="U61" s="7"/>
      <c r="V61" s="7"/>
      <c r="W61" s="59"/>
      <c r="X61" s="7"/>
    </row>
    <row r="62" ht="15.75" customHeight="1">
      <c r="B62" s="8" t="s">
        <v>0</v>
      </c>
      <c r="C62" s="9"/>
      <c r="F62" s="76"/>
      <c r="P62" s="82"/>
      <c r="T62" s="7"/>
      <c r="U62" s="7"/>
      <c r="V62" s="7"/>
      <c r="W62" s="59"/>
      <c r="X62" s="7"/>
    </row>
    <row r="63" ht="15.75" customHeight="1">
      <c r="B63" s="17" t="s">
        <v>4</v>
      </c>
      <c r="C63" s="18" t="str">
        <f>IF(C62="", "", IFERROR(VLOOKUP(C62, 'Food Chart'!A:B, 2, FALSE), ""))</f>
        <v/>
      </c>
      <c r="F63" s="76"/>
      <c r="P63" s="82"/>
      <c r="T63" s="7"/>
      <c r="U63" s="7"/>
      <c r="V63" s="7"/>
      <c r="W63" s="59"/>
      <c r="X63" s="7"/>
    </row>
    <row r="64" ht="15.75" customHeight="1">
      <c r="B64" s="21" t="s">
        <v>6</v>
      </c>
      <c r="C64" s="22" t="str">
        <f>IF(C62="", "", IFERROR(VLOOKUP(C62, 'Food Chart'!A:C, 3, FALSE), ""))</f>
        <v/>
      </c>
      <c r="D64" s="65" t="str">
        <f>IF(C62="", "", IFERROR(VLOOKUP(C62, 'Food Chart'!A:D, 4, FALSE), ""))</f>
        <v/>
      </c>
      <c r="F64" s="76"/>
      <c r="P64" s="82"/>
      <c r="T64" s="7"/>
      <c r="U64" s="7"/>
      <c r="V64" s="7"/>
      <c r="W64" s="59"/>
      <c r="X64" s="7"/>
    </row>
    <row r="65" ht="15.75" customHeight="1">
      <c r="B65" s="21" t="s">
        <v>19</v>
      </c>
      <c r="C65" s="30"/>
      <c r="F65" s="76"/>
      <c r="P65" s="82"/>
      <c r="T65" s="7"/>
      <c r="U65" s="7"/>
      <c r="V65" s="7"/>
      <c r="W65" s="59"/>
      <c r="X65" s="7"/>
    </row>
    <row r="66" ht="15.75" customHeight="1">
      <c r="B66" s="38" t="s">
        <v>21</v>
      </c>
      <c r="C66" s="39"/>
      <c r="F66" s="76"/>
      <c r="P66" s="82"/>
      <c r="T66" s="7"/>
      <c r="U66" s="7"/>
      <c r="V66" s="7"/>
      <c r="W66" s="59"/>
      <c r="X66" s="7"/>
    </row>
    <row r="67" ht="15.75" customHeight="1">
      <c r="B67" s="7"/>
      <c r="C67" s="41"/>
      <c r="F67" s="76"/>
      <c r="P67" s="82"/>
      <c r="T67" s="7"/>
      <c r="U67" s="7"/>
      <c r="V67" s="7"/>
      <c r="W67" s="59"/>
      <c r="X67" s="7"/>
    </row>
    <row r="68" ht="15.75" customHeight="1">
      <c r="B68" s="8" t="s">
        <v>0</v>
      </c>
      <c r="C68" s="9"/>
      <c r="F68" s="76"/>
      <c r="P68" s="82"/>
      <c r="T68" s="7"/>
      <c r="U68" s="7"/>
      <c r="V68" s="7"/>
      <c r="W68" s="59"/>
      <c r="X68" s="7"/>
    </row>
    <row r="69" ht="15.75" customHeight="1">
      <c r="B69" s="17" t="s">
        <v>4</v>
      </c>
      <c r="C69" s="18" t="str">
        <f>IF(C68="", "", IFERROR(VLOOKUP(C68, 'Food Chart'!A:B, 2, FALSE), ""))</f>
        <v/>
      </c>
      <c r="F69" s="76"/>
      <c r="P69" s="82"/>
      <c r="T69" s="7"/>
      <c r="U69" s="7"/>
      <c r="V69" s="7"/>
      <c r="W69" s="59"/>
      <c r="X69" s="7"/>
    </row>
    <row r="70" ht="15.75" customHeight="1">
      <c r="B70" s="21" t="s">
        <v>6</v>
      </c>
      <c r="C70" s="22" t="str">
        <f>IF(C68="", "", IFERROR(VLOOKUP(C68, 'Food Chart'!A:C, 3, FALSE), ""))</f>
        <v/>
      </c>
      <c r="D70" s="65" t="str">
        <f>IF(C68="", "", IFERROR(VLOOKUP(C68, 'Food Chart'!A:D, 4, FALSE), ""))</f>
        <v/>
      </c>
      <c r="F70" s="76"/>
      <c r="P70" s="82"/>
      <c r="T70" s="7"/>
      <c r="U70" s="7"/>
      <c r="V70" s="7"/>
      <c r="W70" s="59"/>
      <c r="X70" s="7"/>
    </row>
    <row r="71" ht="15.75" customHeight="1">
      <c r="B71" s="21" t="s">
        <v>19</v>
      </c>
      <c r="C71" s="30"/>
      <c r="F71" s="76"/>
      <c r="P71" s="82"/>
      <c r="T71" s="7"/>
      <c r="U71" s="7"/>
      <c r="V71" s="7"/>
      <c r="W71" s="59"/>
      <c r="X71" s="7"/>
    </row>
    <row r="72" ht="15.75" customHeight="1">
      <c r="B72" s="38" t="s">
        <v>21</v>
      </c>
      <c r="C72" s="39"/>
      <c r="F72" s="76"/>
      <c r="P72" s="82"/>
      <c r="T72" s="7"/>
      <c r="U72" s="7"/>
      <c r="V72" s="7"/>
      <c r="W72" s="59"/>
      <c r="X72" s="7"/>
    </row>
    <row r="73" ht="15.75" customHeight="1">
      <c r="B73" s="7"/>
      <c r="C73" s="61"/>
      <c r="F73" s="76"/>
      <c r="P73" s="82"/>
      <c r="T73" s="7"/>
      <c r="U73" s="7"/>
      <c r="V73" s="7"/>
      <c r="W73" s="59"/>
      <c r="X73" s="7"/>
    </row>
    <row r="74" ht="15.75" customHeight="1">
      <c r="B74" s="8" t="s">
        <v>0</v>
      </c>
      <c r="C74" s="9"/>
      <c r="F74" s="76"/>
      <c r="P74" s="82"/>
      <c r="T74" s="7"/>
      <c r="U74" s="7"/>
      <c r="V74" s="7"/>
      <c r="W74" s="59"/>
      <c r="X74" s="7"/>
    </row>
    <row r="75" ht="15.75" customHeight="1">
      <c r="B75" s="17" t="s">
        <v>4</v>
      </c>
      <c r="C75" s="18" t="str">
        <f>IF(C74="", "", IFERROR(VLOOKUP(C74, 'Food Chart'!A:B, 2, FALSE), ""))</f>
        <v/>
      </c>
      <c r="F75" s="76"/>
      <c r="P75" s="82"/>
      <c r="T75" s="7"/>
      <c r="U75" s="7"/>
      <c r="V75" s="7"/>
      <c r="W75" s="59"/>
      <c r="X75" s="7"/>
    </row>
    <row r="76" ht="15.75" customHeight="1">
      <c r="B76" s="21" t="s">
        <v>6</v>
      </c>
      <c r="C76" s="22" t="str">
        <f>IF(C74="", "", IFERROR(VLOOKUP(C74, 'Food Chart'!A:C, 3, FALSE), ""))</f>
        <v/>
      </c>
      <c r="D76" s="65" t="str">
        <f>IF(C74="", "", IFERROR(VLOOKUP(C74, 'Food Chart'!A:D, 4, FALSE), ""))</f>
        <v/>
      </c>
      <c r="F76" s="76"/>
      <c r="P76" s="82"/>
      <c r="T76" s="7"/>
      <c r="U76" s="7"/>
      <c r="V76" s="7"/>
      <c r="W76" s="59"/>
      <c r="X76" s="7"/>
    </row>
    <row r="77" ht="15.75" customHeight="1">
      <c r="B77" s="21" t="s">
        <v>19</v>
      </c>
      <c r="C77" s="30"/>
      <c r="F77" s="76"/>
      <c r="P77" s="82"/>
      <c r="T77" s="7"/>
      <c r="U77" s="7"/>
      <c r="V77" s="7"/>
      <c r="W77" s="59"/>
      <c r="X77" s="7"/>
    </row>
    <row r="78" ht="15.75" customHeight="1">
      <c r="B78" s="38" t="s">
        <v>21</v>
      </c>
      <c r="C78" s="39"/>
      <c r="F78" s="76"/>
      <c r="P78" s="82"/>
      <c r="T78" s="7"/>
      <c r="U78" s="7"/>
      <c r="V78" s="7"/>
      <c r="W78" s="59"/>
      <c r="X78" s="7"/>
    </row>
    <row r="79" ht="15.75" customHeight="1">
      <c r="B79" s="7"/>
      <c r="C79" s="72"/>
      <c r="F79" s="76"/>
      <c r="P79" s="82"/>
      <c r="T79" s="7"/>
      <c r="U79" s="7"/>
      <c r="V79" s="7"/>
      <c r="W79" s="59"/>
      <c r="X79" s="7"/>
    </row>
    <row r="80" ht="15.75" customHeight="1">
      <c r="B80" s="8" t="s">
        <v>0</v>
      </c>
      <c r="C80" s="9"/>
      <c r="F80" s="76"/>
      <c r="P80" s="82"/>
      <c r="T80" s="7"/>
      <c r="U80" s="7"/>
      <c r="V80" s="7"/>
      <c r="W80" s="59"/>
      <c r="X80" s="7"/>
    </row>
    <row r="81">
      <c r="B81" s="17" t="s">
        <v>4</v>
      </c>
      <c r="C81" s="18" t="str">
        <f>IF(C80="", "", IFERROR(VLOOKUP(C80, 'Food Chart'!A:B, 2, FALSE), ""))</f>
        <v/>
      </c>
      <c r="F81" s="76"/>
      <c r="P81" s="82"/>
      <c r="T81" s="7"/>
      <c r="U81" s="7"/>
      <c r="V81" s="7"/>
      <c r="W81" s="59"/>
      <c r="X81" s="7"/>
    </row>
    <row r="82">
      <c r="B82" s="21" t="s">
        <v>6</v>
      </c>
      <c r="C82" s="22" t="str">
        <f>IF(C80="", "", IFERROR(VLOOKUP(C80, 'Food Chart'!A:C, 3, FALSE), ""))</f>
        <v/>
      </c>
      <c r="D82" s="65" t="str">
        <f>IF(C80="", "", IFERROR(VLOOKUP(C80, 'Food Chart'!A:D, 4, FALSE), ""))</f>
        <v/>
      </c>
      <c r="F82" s="76"/>
      <c r="P82" s="82"/>
      <c r="T82" s="7"/>
      <c r="U82" s="7"/>
      <c r="V82" s="7"/>
      <c r="W82" s="59"/>
      <c r="X82" s="7"/>
    </row>
    <row r="83">
      <c r="B83" s="21" t="s">
        <v>19</v>
      </c>
      <c r="C83" s="30"/>
      <c r="F83" s="76"/>
      <c r="P83" s="82"/>
      <c r="T83" s="7"/>
      <c r="U83" s="7"/>
      <c r="V83" s="7"/>
      <c r="W83" s="59"/>
      <c r="X83" s="7"/>
    </row>
    <row r="84">
      <c r="B84" s="38" t="s">
        <v>21</v>
      </c>
      <c r="C84" s="39"/>
      <c r="F84" s="76"/>
      <c r="P84" s="82"/>
      <c r="T84" s="7"/>
      <c r="U84" s="7"/>
      <c r="V84" s="7"/>
      <c r="W84" s="59"/>
      <c r="X84" s="7"/>
    </row>
    <row r="85">
      <c r="B85" s="7"/>
      <c r="C85" s="61"/>
      <c r="F85" s="76"/>
      <c r="P85" s="82"/>
      <c r="T85" s="7"/>
      <c r="U85" s="7"/>
      <c r="V85" s="7"/>
      <c r="W85" s="59"/>
      <c r="X85" s="7"/>
    </row>
    <row r="86">
      <c r="B86" s="8" t="s">
        <v>0</v>
      </c>
      <c r="C86" s="9"/>
      <c r="F86" s="76"/>
      <c r="P86" s="82"/>
      <c r="T86" s="7"/>
      <c r="U86" s="7"/>
      <c r="V86" s="7"/>
      <c r="W86" s="59"/>
      <c r="X86" s="7"/>
    </row>
    <row r="87">
      <c r="B87" s="17" t="s">
        <v>4</v>
      </c>
      <c r="C87" s="18" t="str">
        <f>IF(C86="", "", IFERROR(VLOOKUP(C86, 'Food Chart'!A:B, 2, FALSE), ""))</f>
        <v/>
      </c>
      <c r="F87" s="76"/>
      <c r="P87" s="82"/>
      <c r="T87" s="7"/>
      <c r="U87" s="7"/>
      <c r="V87" s="7"/>
      <c r="W87" s="59"/>
      <c r="X87" s="7"/>
    </row>
    <row r="88">
      <c r="B88" s="21" t="s">
        <v>6</v>
      </c>
      <c r="C88" s="22" t="str">
        <f>IF(C86="", "", IFERROR(VLOOKUP(C86, 'Food Chart'!A:C, 3, FALSE), ""))</f>
        <v/>
      </c>
      <c r="D88" s="65" t="str">
        <f>IF(C86="", "", IFERROR(VLOOKUP(C86, 'Food Chart'!A:D, 4, FALSE), ""))</f>
        <v/>
      </c>
      <c r="F88" s="76"/>
      <c r="P88" s="82"/>
      <c r="T88" s="7"/>
      <c r="U88" s="7"/>
      <c r="V88" s="7"/>
      <c r="W88" s="59"/>
      <c r="X88" s="7"/>
    </row>
    <row r="89">
      <c r="B89" s="21" t="s">
        <v>19</v>
      </c>
      <c r="C89" s="30"/>
      <c r="F89" s="76"/>
      <c r="P89" s="82"/>
      <c r="T89" s="7"/>
      <c r="U89" s="7"/>
      <c r="V89" s="7"/>
      <c r="W89" s="59"/>
      <c r="X89" s="7"/>
    </row>
    <row r="90">
      <c r="B90" s="38" t="s">
        <v>21</v>
      </c>
      <c r="C90" s="39"/>
      <c r="F90" s="76"/>
      <c r="P90" s="82"/>
      <c r="T90" s="7"/>
      <c r="U90" s="7"/>
      <c r="V90" s="7"/>
      <c r="W90" s="59"/>
      <c r="X90" s="7"/>
    </row>
    <row r="91">
      <c r="B91" s="7"/>
      <c r="C91" s="59"/>
      <c r="F91" s="76"/>
      <c r="P91" s="82"/>
      <c r="T91" s="7"/>
      <c r="U91" s="7"/>
      <c r="V91" s="7"/>
      <c r="W91" s="59"/>
      <c r="X91" s="7"/>
    </row>
  </sheetData>
  <mergeCells count="8">
    <mergeCell ref="I2:M2"/>
    <mergeCell ref="P2:W2"/>
    <mergeCell ref="E13:E14"/>
    <mergeCell ref="F13:F14"/>
    <mergeCell ref="E22:F22"/>
    <mergeCell ref="E23:F23"/>
    <mergeCell ref="E24:F24"/>
    <mergeCell ref="E25:F25"/>
  </mergeCells>
  <dataValidations>
    <dataValidation type="list" allowBlank="1" sqref="C2 C8 C14 C20 C26 C32 C38 C44 C50 C56 C62 C68 C74 C80 C86">
      <formula1>'Food Chart'!$A$2:$A$1000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16.13"/>
    <col customWidth="1" min="3" max="3" width="32.0"/>
    <col customWidth="1" min="4" max="4" width="5.13"/>
    <col customWidth="1" min="5" max="5" width="30.75"/>
    <col customWidth="1" min="6" max="6" width="9.25"/>
    <col customWidth="1" min="7" max="8" width="5.13"/>
    <col customWidth="1" min="9" max="9" width="15.13"/>
    <col customWidth="1" min="10" max="10" width="17.88"/>
    <col customWidth="1" min="11" max="11" width="6.13"/>
    <col customWidth="1" min="12" max="12" width="6.63"/>
    <col customWidth="1" min="13" max="13" width="7.13"/>
    <col customWidth="1" min="14" max="15" width="2.75"/>
    <col customWidth="1" min="16" max="16" width="12.38"/>
    <col customWidth="1" min="17" max="17" width="11.13"/>
    <col customWidth="1" min="18" max="18" width="14.75"/>
    <col customWidth="1" min="19" max="19" width="12.5"/>
    <col customWidth="1" min="20" max="20" width="9.75"/>
    <col customWidth="1" min="21" max="21" width="2.75"/>
    <col customWidth="1" min="22" max="22" width="13.75"/>
    <col customWidth="1" min="23" max="23" width="4.88"/>
    <col customWidth="1" min="24" max="24" width="2.75"/>
  </cols>
  <sheetData>
    <row r="1" ht="7.5" customHeight="1">
      <c r="A1" s="1"/>
      <c r="B1" s="2"/>
      <c r="C1" s="3"/>
      <c r="D1" s="4"/>
      <c r="E1" s="4"/>
      <c r="F1" s="5"/>
      <c r="G1" s="4"/>
      <c r="H1" s="4"/>
      <c r="I1" s="4"/>
      <c r="J1" s="4"/>
      <c r="K1" s="4"/>
      <c r="L1" s="4"/>
      <c r="M1" s="4"/>
      <c r="N1" s="4"/>
      <c r="O1" s="4"/>
      <c r="P1" s="6"/>
      <c r="Q1" s="4"/>
      <c r="R1" s="4"/>
      <c r="S1" s="4"/>
      <c r="T1" s="2"/>
      <c r="U1" s="2"/>
      <c r="V1" s="2"/>
      <c r="W1" s="3"/>
      <c r="X1" s="7"/>
    </row>
    <row r="2" ht="15.75" customHeight="1">
      <c r="A2" s="1"/>
      <c r="B2" s="8" t="s">
        <v>0</v>
      </c>
      <c r="C2" s="9"/>
      <c r="D2" s="10"/>
      <c r="E2" s="11" t="s">
        <v>65</v>
      </c>
      <c r="F2" s="12">
        <v>20.8</v>
      </c>
      <c r="G2" s="4"/>
      <c r="H2" s="4"/>
      <c r="I2" s="13" t="s">
        <v>2</v>
      </c>
      <c r="J2" s="14"/>
      <c r="K2" s="14"/>
      <c r="L2" s="14"/>
      <c r="M2" s="15"/>
      <c r="N2" s="4"/>
      <c r="O2" s="4"/>
      <c r="P2" s="16" t="s">
        <v>3</v>
      </c>
      <c r="Q2" s="14"/>
      <c r="R2" s="14"/>
      <c r="S2" s="14"/>
      <c r="T2" s="14"/>
      <c r="U2" s="14"/>
      <c r="V2" s="14"/>
      <c r="W2" s="15"/>
      <c r="X2" s="7"/>
    </row>
    <row r="3" ht="15.75" customHeight="1">
      <c r="A3" s="1"/>
      <c r="B3" s="17" t="s">
        <v>4</v>
      </c>
      <c r="C3" s="18" t="str">
        <f>IF(C2="", "", IFERROR(VLOOKUP(C2, 'Food Chart'!A:B, 2, FALSE), ""))</f>
        <v/>
      </c>
      <c r="D3" s="4"/>
      <c r="E3" s="19" t="s">
        <v>66</v>
      </c>
      <c r="F3" s="20">
        <v>6.2</v>
      </c>
      <c r="G3" s="4"/>
      <c r="H3" s="4"/>
      <c r="I3" s="4"/>
      <c r="J3" s="4"/>
      <c r="K3" s="4"/>
      <c r="L3" s="4"/>
      <c r="M3" s="4"/>
      <c r="N3" s="4"/>
      <c r="O3" s="4"/>
      <c r="P3" s="6"/>
      <c r="Q3" s="4"/>
      <c r="R3" s="4"/>
      <c r="S3" s="4"/>
      <c r="T3" s="2"/>
      <c r="U3" s="2"/>
      <c r="V3" s="2"/>
      <c r="W3" s="3"/>
      <c r="X3" s="7"/>
    </row>
    <row r="4" ht="15.75" customHeight="1">
      <c r="A4" s="1"/>
      <c r="B4" s="21" t="s">
        <v>6</v>
      </c>
      <c r="C4" s="22" t="str">
        <f>IF(C2="", "", IFERROR(VLOOKUP(C2, 'Food Chart'!A:C, 3, FALSE), ""))</f>
        <v/>
      </c>
      <c r="D4" s="4" t="str">
        <f>IF(C2="", "", IFERROR(VLOOKUP(C2, 'Food Chart'!A:D, 4, FALSE), ""))</f>
        <v/>
      </c>
      <c r="E4" s="23" t="s">
        <v>67</v>
      </c>
      <c r="F4" s="24">
        <v>8.5</v>
      </c>
      <c r="G4" s="4"/>
      <c r="H4" s="4"/>
      <c r="I4" s="25" t="s">
        <v>8</v>
      </c>
      <c r="J4" s="25" t="s">
        <v>9</v>
      </c>
      <c r="K4" s="25" t="s">
        <v>10</v>
      </c>
      <c r="L4" s="25" t="s">
        <v>11</v>
      </c>
      <c r="M4" s="25" t="s">
        <v>12</v>
      </c>
      <c r="N4" s="4"/>
      <c r="O4" s="4"/>
      <c r="P4" s="26" t="s">
        <v>13</v>
      </c>
      <c r="Q4" s="25" t="s">
        <v>14</v>
      </c>
      <c r="R4" s="25" t="s">
        <v>15</v>
      </c>
      <c r="S4" s="25" t="s">
        <v>16</v>
      </c>
      <c r="T4" s="27" t="s">
        <v>17</v>
      </c>
      <c r="U4" s="2"/>
      <c r="V4" s="28" t="s">
        <v>18</v>
      </c>
      <c r="W4" s="29"/>
      <c r="X4" s="7"/>
    </row>
    <row r="5" ht="15.75" customHeight="1">
      <c r="A5" s="4"/>
      <c r="B5" s="21" t="s">
        <v>19</v>
      </c>
      <c r="C5" s="30"/>
      <c r="D5" s="10"/>
      <c r="E5" s="2"/>
      <c r="F5" s="31"/>
      <c r="G5" s="4"/>
      <c r="H5" s="4"/>
      <c r="I5" s="32"/>
      <c r="J5" s="33"/>
      <c r="K5" s="34"/>
      <c r="L5" s="33"/>
      <c r="M5" s="33"/>
      <c r="N5" s="4"/>
      <c r="O5" s="4"/>
      <c r="P5" s="35"/>
      <c r="Q5" s="33"/>
      <c r="R5" s="33"/>
      <c r="S5" s="33"/>
      <c r="T5" s="36"/>
      <c r="U5" s="2"/>
      <c r="V5" s="28" t="s">
        <v>20</v>
      </c>
      <c r="W5" s="37"/>
      <c r="X5" s="7"/>
    </row>
    <row r="6" ht="15.75" customHeight="1">
      <c r="A6" s="10"/>
      <c r="B6" s="38" t="s">
        <v>21</v>
      </c>
      <c r="C6" s="39"/>
      <c r="D6" s="4"/>
      <c r="E6" s="11" t="s">
        <v>68</v>
      </c>
      <c r="F6" s="40">
        <v>10.6</v>
      </c>
      <c r="G6" s="10"/>
      <c r="H6" s="4"/>
      <c r="I6" s="32"/>
      <c r="J6" s="33"/>
      <c r="K6" s="34"/>
      <c r="L6" s="33"/>
      <c r="M6" s="33"/>
      <c r="N6" s="4"/>
      <c r="O6" s="4"/>
      <c r="P6" s="35"/>
      <c r="Q6" s="33"/>
      <c r="R6" s="33"/>
      <c r="S6" s="33"/>
      <c r="T6" s="36"/>
      <c r="U6" s="2"/>
      <c r="V6" s="28" t="s">
        <v>23</v>
      </c>
      <c r="W6" s="37"/>
      <c r="X6" s="7"/>
    </row>
    <row r="7" ht="15.75" customHeight="1">
      <c r="A7" s="10"/>
      <c r="B7" s="7"/>
      <c r="C7" s="41"/>
      <c r="D7" s="10"/>
      <c r="E7" s="23" t="s">
        <v>69</v>
      </c>
      <c r="F7" s="42"/>
      <c r="G7" s="4"/>
      <c r="H7" s="4"/>
      <c r="I7" s="32"/>
      <c r="J7" s="33"/>
      <c r="K7" s="34"/>
      <c r="L7" s="33"/>
      <c r="M7" s="33"/>
      <c r="N7" s="4"/>
      <c r="O7" s="4"/>
      <c r="P7" s="35"/>
      <c r="Q7" s="33"/>
      <c r="R7" s="33"/>
      <c r="S7" s="33"/>
      <c r="T7" s="36"/>
      <c r="U7" s="2"/>
      <c r="V7" s="28" t="s">
        <v>25</v>
      </c>
      <c r="W7" s="43"/>
      <c r="X7" s="7"/>
    </row>
    <row r="8" ht="15.75" customHeight="1">
      <c r="A8" s="4"/>
      <c r="B8" s="8" t="s">
        <v>0</v>
      </c>
      <c r="C8" s="9"/>
      <c r="D8" s="10"/>
      <c r="E8" s="44" t="s">
        <v>70</v>
      </c>
      <c r="F8" s="42"/>
      <c r="G8" s="4"/>
      <c r="H8" s="4"/>
      <c r="I8" s="32"/>
      <c r="J8" s="33"/>
      <c r="K8" s="34"/>
      <c r="L8" s="33"/>
      <c r="M8" s="33"/>
      <c r="N8" s="4"/>
      <c r="O8" s="4"/>
      <c r="P8" s="35"/>
      <c r="Q8" s="33"/>
      <c r="R8" s="33"/>
      <c r="S8" s="33"/>
      <c r="T8" s="36"/>
      <c r="U8" s="2"/>
      <c r="W8" s="45"/>
      <c r="X8" s="7"/>
    </row>
    <row r="9" ht="15.75" customHeight="1">
      <c r="A9" s="10"/>
      <c r="B9" s="17" t="s">
        <v>4</v>
      </c>
      <c r="C9" s="18" t="str">
        <f>IF(C8="", "", IFERROR(VLOOKUP(C8, 'Food Chart'!A:B, 2, FALSE), ""))</f>
        <v/>
      </c>
      <c r="D9" s="4"/>
      <c r="E9" s="31"/>
      <c r="F9" s="46"/>
      <c r="G9" s="4"/>
      <c r="H9" s="4"/>
      <c r="I9" s="32"/>
      <c r="J9" s="33"/>
      <c r="K9" s="34"/>
      <c r="L9" s="33"/>
      <c r="M9" s="33"/>
      <c r="N9" s="4"/>
      <c r="O9" s="4"/>
      <c r="P9" s="35"/>
      <c r="Q9" s="47"/>
      <c r="R9" s="47"/>
      <c r="S9" s="47"/>
      <c r="T9" s="48"/>
      <c r="U9" s="2"/>
      <c r="V9" s="28" t="s">
        <v>16</v>
      </c>
      <c r="W9" s="87"/>
      <c r="X9" s="7"/>
    </row>
    <row r="10" ht="15.75" customHeight="1">
      <c r="A10" s="50"/>
      <c r="B10" s="21" t="s">
        <v>6</v>
      </c>
      <c r="C10" s="22" t="str">
        <f>IF(C8="", "", IFERROR(VLOOKUP(C8, 'Food Chart'!A:C, 3, FALSE), ""))</f>
        <v/>
      </c>
      <c r="D10" s="4" t="str">
        <f>IF(C8="", "", IFERROR(VLOOKUP(C8, 'Food Chart'!A:D, 4, FALSE), ""))</f>
        <v/>
      </c>
      <c r="E10" s="11" t="s">
        <v>71</v>
      </c>
      <c r="F10" s="51">
        <v>0.5</v>
      </c>
      <c r="G10" s="4"/>
      <c r="H10" s="4"/>
      <c r="I10" s="32"/>
      <c r="J10" s="33"/>
      <c r="K10" s="34"/>
      <c r="L10" s="33"/>
      <c r="M10" s="33"/>
      <c r="N10" s="4"/>
      <c r="O10" s="4"/>
      <c r="P10" s="35"/>
      <c r="Q10" s="47"/>
      <c r="R10" s="47"/>
      <c r="S10" s="47"/>
      <c r="T10" s="48"/>
      <c r="U10" s="2"/>
      <c r="V10" s="28" t="s">
        <v>28</v>
      </c>
      <c r="W10" s="29"/>
      <c r="X10" s="7"/>
    </row>
    <row r="11" ht="15.75" customHeight="1">
      <c r="B11" s="21" t="s">
        <v>19</v>
      </c>
      <c r="C11" s="30"/>
      <c r="E11" s="23" t="s">
        <v>72</v>
      </c>
      <c r="F11" s="55">
        <v>0.0</v>
      </c>
      <c r="P11" s="84"/>
      <c r="Q11" s="85"/>
      <c r="R11" s="85"/>
      <c r="S11" s="85"/>
      <c r="T11" s="86"/>
      <c r="U11" s="7"/>
      <c r="V11" s="7"/>
      <c r="W11" s="59"/>
      <c r="X11" s="7"/>
    </row>
    <row r="12" ht="15.75" customHeight="1">
      <c r="B12" s="38" t="s">
        <v>21</v>
      </c>
      <c r="C12" s="39"/>
      <c r="D12" s="60"/>
      <c r="P12" s="84"/>
      <c r="Q12" s="85"/>
      <c r="R12" s="85"/>
      <c r="S12" s="85"/>
      <c r="T12" s="86"/>
      <c r="U12" s="7"/>
      <c r="V12" s="7"/>
      <c r="W12" s="59"/>
      <c r="X12" s="7"/>
    </row>
    <row r="13" ht="15.75" customHeight="1">
      <c r="B13" s="7"/>
      <c r="C13" s="61"/>
      <c r="E13" s="62" t="s">
        <v>30</v>
      </c>
      <c r="F13" s="63">
        <f>IF(OR(F2&lt;=0,F4&lt;=0),"",IF(AND(F6=0,F7=0),"",FLOOR(MAX(0,IF(F2&gt;0,F7/F2,0)+IF(AND(F4&gt;0,F3&gt;0,F6&gt;0),(F6-F3)/F4,0)-IF(F10&gt;0,F10,0)-IF(F11&gt;0,F11/F2,0)),0.05)))</f>
        <v>0</v>
      </c>
      <c r="P13" s="84"/>
      <c r="Q13" s="85"/>
      <c r="R13" s="85"/>
      <c r="S13" s="85"/>
      <c r="T13" s="86"/>
      <c r="U13" s="7"/>
      <c r="V13" s="7"/>
      <c r="W13" s="59"/>
      <c r="X13" s="7"/>
    </row>
    <row r="14" ht="15.75" customHeight="1">
      <c r="B14" s="8" t="s">
        <v>0</v>
      </c>
      <c r="C14" s="9"/>
      <c r="D14" s="60"/>
      <c r="E14" s="64"/>
      <c r="F14" s="64"/>
      <c r="P14" s="84"/>
      <c r="Q14" s="85"/>
      <c r="R14" s="85"/>
      <c r="S14" s="85"/>
      <c r="T14" s="86"/>
      <c r="U14" s="7"/>
      <c r="V14" s="7"/>
      <c r="W14" s="59"/>
      <c r="X14" s="7"/>
    </row>
    <row r="15" ht="15.75" customHeight="1">
      <c r="B15" s="17" t="s">
        <v>4</v>
      </c>
      <c r="C15" s="18" t="str">
        <f>IF(C14="", "", IFERROR(VLOOKUP(C14, 'Food Chart'!A:B, 2, FALSE), ""))</f>
        <v/>
      </c>
      <c r="P15" s="84"/>
      <c r="Q15" s="85"/>
      <c r="R15" s="85"/>
      <c r="S15" s="85"/>
      <c r="T15" s="86"/>
      <c r="U15" s="7"/>
      <c r="V15" s="7"/>
      <c r="W15" s="59"/>
      <c r="X15" s="7"/>
    </row>
    <row r="16" ht="15.75" customHeight="1">
      <c r="B16" s="21" t="s">
        <v>6</v>
      </c>
      <c r="C16" s="22" t="str">
        <f>IF(C14="", "", IFERROR(VLOOKUP(C14, 'Food Chart'!A:C, 3, FALSE), ""))</f>
        <v/>
      </c>
      <c r="D16" s="65" t="str">
        <f>IF(C14="", "", IFERROR(VLOOKUP(C14, 'Food Chart'!A:D, 4, FALSE), ""))</f>
        <v/>
      </c>
      <c r="E16" s="66" t="str">
        <f>IFERROR(__xludf.DUMMYFUNCTION("IF(F14="""", ""Bolus time"",
   IF(ISTEXT(F14),
      F14,
      REGEXREPLACE(REGEXREPLACE(TEXT(FLOOR(F14, 0.05), ""0.00""), ""([.,]\d)0$"", ""$1""), ""[.,]0$"", """")
   ) &amp; "" U bolus at""
)"),"Bolus time")</f>
        <v>Bolus time</v>
      </c>
      <c r="F16" s="67"/>
      <c r="P16" s="84"/>
      <c r="Q16" s="85"/>
      <c r="R16" s="85"/>
      <c r="S16" s="85"/>
      <c r="T16" s="86"/>
      <c r="U16" s="7"/>
      <c r="V16" s="7"/>
      <c r="W16" s="59"/>
      <c r="X16" s="7"/>
    </row>
    <row r="17" ht="15.75" customHeight="1">
      <c r="B17" s="21" t="s">
        <v>19</v>
      </c>
      <c r="C17" s="30"/>
      <c r="D17" s="60"/>
      <c r="E17" s="68" t="s">
        <v>32</v>
      </c>
      <c r="F17" s="69"/>
      <c r="J17" s="60" t="s">
        <v>33</v>
      </c>
      <c r="P17" s="56"/>
      <c r="Q17" s="57"/>
      <c r="R17" s="57"/>
      <c r="S17" s="57"/>
      <c r="T17" s="58"/>
      <c r="U17" s="7"/>
      <c r="V17" s="7"/>
      <c r="W17" s="70"/>
      <c r="X17" s="71"/>
    </row>
    <row r="18" ht="15.75" customHeight="1">
      <c r="B18" s="38" t="s">
        <v>21</v>
      </c>
      <c r="C18" s="39"/>
      <c r="E18" s="68" t="s">
        <v>73</v>
      </c>
      <c r="F18" s="69"/>
      <c r="P18" s="56"/>
      <c r="Q18" s="57"/>
      <c r="R18" s="57"/>
      <c r="S18" s="57"/>
      <c r="T18" s="58"/>
      <c r="U18" s="7"/>
      <c r="V18" s="7"/>
      <c r="W18" s="70"/>
      <c r="X18" s="71"/>
    </row>
    <row r="19" ht="15.75" customHeight="1">
      <c r="B19" s="7"/>
      <c r="C19" s="72"/>
      <c r="E19" s="73" t="s">
        <v>35</v>
      </c>
      <c r="F19" s="74" t="str">
        <f>IF(OR(F18="",F16=""),"",ROUND((F18-F16)*24*60,0)&amp;" minutes")</f>
        <v/>
      </c>
      <c r="P19" s="56"/>
      <c r="Q19" s="57"/>
      <c r="R19" s="57"/>
      <c r="S19" s="57"/>
      <c r="T19" s="58"/>
      <c r="U19" s="7"/>
      <c r="V19" s="7"/>
      <c r="W19" s="59"/>
      <c r="X19" s="7"/>
    </row>
    <row r="20" ht="15.75" customHeight="1">
      <c r="B20" s="8" t="s">
        <v>0</v>
      </c>
      <c r="C20" s="9"/>
      <c r="D20" s="60"/>
      <c r="F20" s="76"/>
      <c r="P20" s="56"/>
      <c r="Q20" s="57"/>
      <c r="R20" s="57"/>
      <c r="S20" s="57"/>
      <c r="T20" s="58"/>
      <c r="U20" s="7"/>
      <c r="V20" s="7"/>
      <c r="W20" s="59"/>
      <c r="X20" s="7"/>
    </row>
    <row r="21" ht="15.75" customHeight="1">
      <c r="B21" s="17" t="s">
        <v>4</v>
      </c>
      <c r="C21" s="18" t="str">
        <f>IF(C20="", "", IFERROR(VLOOKUP(C20, 'Food Chart'!A:B, 2, FALSE), ""))</f>
        <v/>
      </c>
      <c r="P21" s="56"/>
      <c r="Q21" s="57"/>
      <c r="R21" s="57"/>
      <c r="S21" s="57"/>
      <c r="T21" s="58"/>
      <c r="U21" s="7"/>
      <c r="V21" s="7"/>
      <c r="W21" s="59"/>
      <c r="X21" s="7"/>
    </row>
    <row r="22" ht="15.75" customHeight="1">
      <c r="B22" s="21" t="s">
        <v>6</v>
      </c>
      <c r="C22" s="22" t="str">
        <f>IF(C20="", "", IFERROR(VLOOKUP(C20, 'Food Chart'!A:C, 3, FALSE), ""))</f>
        <v/>
      </c>
      <c r="D22" s="60" t="str">
        <f>IF(C20="", "", IFERROR(VLOOKUP(C20, 'Food Chart'!A:D, 4, FALSE), ""))</f>
        <v/>
      </c>
      <c r="E22" s="77" t="s">
        <v>36</v>
      </c>
      <c r="F22" s="78"/>
      <c r="P22" s="56"/>
      <c r="Q22" s="57"/>
      <c r="R22" s="57"/>
      <c r="S22" s="57"/>
      <c r="T22" s="58"/>
      <c r="U22" s="7"/>
      <c r="V22" s="7"/>
      <c r="W22" s="70"/>
      <c r="X22" s="71"/>
    </row>
    <row r="23" ht="15.75" customHeight="1">
      <c r="B23" s="21" t="s">
        <v>19</v>
      </c>
      <c r="C23" s="30"/>
      <c r="E23" s="80"/>
      <c r="F23" s="78"/>
      <c r="P23" s="56"/>
      <c r="Q23" s="57"/>
      <c r="R23" s="57"/>
      <c r="S23" s="57"/>
      <c r="T23" s="58"/>
      <c r="U23" s="7"/>
      <c r="V23" s="7"/>
      <c r="W23" s="70"/>
      <c r="X23" s="71"/>
    </row>
    <row r="24" ht="15.75" customHeight="1">
      <c r="B24" s="38" t="s">
        <v>21</v>
      </c>
      <c r="C24" s="39"/>
      <c r="E24" s="80"/>
      <c r="F24" s="78"/>
      <c r="K24" s="81"/>
      <c r="P24" s="56"/>
      <c r="Q24" s="57"/>
      <c r="R24" s="57"/>
      <c r="S24" s="57"/>
      <c r="T24" s="58"/>
      <c r="U24" s="7"/>
      <c r="V24" s="7"/>
      <c r="W24" s="70"/>
      <c r="X24" s="71"/>
    </row>
    <row r="25" ht="15.75" customHeight="1">
      <c r="B25" s="7"/>
      <c r="C25" s="61"/>
      <c r="E25" s="80"/>
      <c r="F25" s="78"/>
      <c r="P25" s="82"/>
      <c r="T25" s="7"/>
      <c r="U25" s="7"/>
      <c r="V25" s="7"/>
      <c r="W25" s="70"/>
      <c r="X25" s="71"/>
    </row>
    <row r="26" ht="15.75" customHeight="1">
      <c r="B26" s="8" t="s">
        <v>0</v>
      </c>
      <c r="C26" s="9"/>
      <c r="D26" s="60"/>
      <c r="E26" s="83"/>
      <c r="F26" s="83"/>
      <c r="P26" s="82"/>
      <c r="T26" s="7"/>
      <c r="U26" s="7"/>
      <c r="V26" s="7"/>
      <c r="W26" s="59"/>
      <c r="X26" s="7"/>
    </row>
    <row r="27" ht="15.75" customHeight="1">
      <c r="B27" s="17" t="s">
        <v>4</v>
      </c>
      <c r="C27" s="18" t="str">
        <f>IF(C26="", "", IFERROR(VLOOKUP(C26, 'Food Chart'!A:B, 2, FALSE), ""))</f>
        <v/>
      </c>
      <c r="F27" s="76"/>
      <c r="P27" s="82"/>
      <c r="T27" s="7"/>
      <c r="U27" s="7"/>
      <c r="V27" s="7"/>
      <c r="W27" s="70"/>
      <c r="X27" s="71"/>
    </row>
    <row r="28" ht="15.75" customHeight="1">
      <c r="B28" s="21" t="s">
        <v>6</v>
      </c>
      <c r="C28" s="22" t="str">
        <f>IF(C26="", "", IFERROR(VLOOKUP(C26, 'Food Chart'!A:C, 3, FALSE), ""))</f>
        <v/>
      </c>
      <c r="D28" s="65" t="str">
        <f>IF(C26="", "", IFERROR(VLOOKUP(C26, 'Food Chart'!A:D, 4, FALSE), ""))</f>
        <v/>
      </c>
      <c r="F28" s="76"/>
      <c r="P28" s="82"/>
      <c r="T28" s="7"/>
      <c r="U28" s="7"/>
      <c r="V28" s="7"/>
      <c r="W28" s="70"/>
      <c r="X28" s="71"/>
    </row>
    <row r="29" ht="15.75" customHeight="1">
      <c r="B29" s="21" t="s">
        <v>19</v>
      </c>
      <c r="C29" s="30"/>
      <c r="F29" s="76"/>
      <c r="P29" s="82"/>
      <c r="T29" s="7"/>
      <c r="U29" s="7"/>
      <c r="V29" s="7"/>
      <c r="W29" s="70"/>
      <c r="X29" s="71"/>
    </row>
    <row r="30" ht="15.75" customHeight="1">
      <c r="B30" s="38" t="s">
        <v>21</v>
      </c>
      <c r="C30" s="39"/>
      <c r="F30" s="76"/>
      <c r="P30" s="82"/>
      <c r="T30" s="7"/>
      <c r="U30" s="7"/>
      <c r="V30" s="7"/>
      <c r="W30" s="70"/>
      <c r="X30" s="71"/>
    </row>
    <row r="31" ht="15.75" customHeight="1">
      <c r="B31" s="7"/>
      <c r="C31" s="59"/>
      <c r="F31" s="76"/>
      <c r="P31" s="82"/>
      <c r="T31" s="7"/>
      <c r="U31" s="7"/>
      <c r="V31" s="7"/>
      <c r="W31" s="59"/>
      <c r="X31" s="7"/>
    </row>
    <row r="32" ht="15.75" customHeight="1">
      <c r="B32" s="8" t="s">
        <v>0</v>
      </c>
      <c r="C32" s="9"/>
      <c r="F32" s="76"/>
      <c r="P32" s="82"/>
      <c r="T32" s="7"/>
      <c r="U32" s="7"/>
      <c r="V32" s="7"/>
      <c r="W32" s="59"/>
      <c r="X32" s="7"/>
    </row>
    <row r="33" ht="15.75" customHeight="1">
      <c r="B33" s="17" t="s">
        <v>4</v>
      </c>
      <c r="C33" s="18" t="str">
        <f>IF(C32="", "", IFERROR(VLOOKUP(C32, 'Food Chart'!A:B, 2, FALSE), ""))</f>
        <v/>
      </c>
      <c r="F33" s="76"/>
      <c r="P33" s="82"/>
      <c r="T33" s="7"/>
      <c r="U33" s="7"/>
      <c r="V33" s="7"/>
      <c r="W33" s="59"/>
      <c r="X33" s="7"/>
    </row>
    <row r="34" ht="15.75" customHeight="1">
      <c r="B34" s="21" t="s">
        <v>6</v>
      </c>
      <c r="C34" s="22" t="str">
        <f>IF(C32="", "", IFERROR(VLOOKUP(C32, 'Food Chart'!A:C, 3, FALSE), ""))</f>
        <v/>
      </c>
      <c r="D34" s="65" t="str">
        <f>IF(C32="", "", IFERROR(VLOOKUP(C32, 'Food Chart'!A:D, 4, FALSE), ""))</f>
        <v/>
      </c>
      <c r="F34" s="76"/>
      <c r="P34" s="82"/>
      <c r="T34" s="7"/>
      <c r="U34" s="7"/>
      <c r="V34" s="7"/>
      <c r="W34" s="59"/>
      <c r="X34" s="7"/>
    </row>
    <row r="35" ht="15.75" customHeight="1">
      <c r="B35" s="21" t="s">
        <v>19</v>
      </c>
      <c r="C35" s="30"/>
      <c r="D35" s="60"/>
      <c r="F35" s="76"/>
      <c r="P35" s="82"/>
      <c r="T35" s="7"/>
      <c r="U35" s="7"/>
      <c r="V35" s="7"/>
      <c r="W35" s="59"/>
      <c r="X35" s="7"/>
    </row>
    <row r="36" ht="15.75" customHeight="1">
      <c r="B36" s="38" t="s">
        <v>21</v>
      </c>
      <c r="C36" s="39"/>
      <c r="F36" s="76"/>
      <c r="P36" s="82"/>
      <c r="T36" s="7"/>
      <c r="U36" s="7"/>
      <c r="V36" s="7"/>
      <c r="W36" s="59"/>
      <c r="X36" s="7"/>
    </row>
    <row r="37" ht="15.75" customHeight="1">
      <c r="B37" s="7"/>
      <c r="C37" s="41"/>
      <c r="F37" s="76"/>
      <c r="P37" s="82"/>
      <c r="T37" s="7"/>
      <c r="U37" s="7"/>
      <c r="V37" s="7"/>
      <c r="W37" s="59"/>
      <c r="X37" s="7"/>
    </row>
    <row r="38" ht="15.75" customHeight="1">
      <c r="B38" s="8" t="s">
        <v>0</v>
      </c>
      <c r="C38" s="9"/>
      <c r="F38" s="76"/>
      <c r="P38" s="82"/>
      <c r="T38" s="7"/>
      <c r="U38" s="7"/>
      <c r="V38" s="7"/>
      <c r="W38" s="59"/>
      <c r="X38" s="7"/>
    </row>
    <row r="39" ht="15.75" customHeight="1">
      <c r="B39" s="17" t="s">
        <v>4</v>
      </c>
      <c r="C39" s="18" t="str">
        <f>IF(C38="", "", IFERROR(VLOOKUP(C38, 'Food Chart'!A:B, 2, FALSE), ""))</f>
        <v/>
      </c>
      <c r="F39" s="76"/>
      <c r="P39" s="82"/>
      <c r="T39" s="7"/>
      <c r="U39" s="7"/>
      <c r="V39" s="7"/>
      <c r="W39" s="59"/>
      <c r="X39" s="7"/>
    </row>
    <row r="40" ht="15.75" customHeight="1">
      <c r="B40" s="21" t="s">
        <v>6</v>
      </c>
      <c r="C40" s="22" t="str">
        <f>IF(C38="", "", IFERROR(VLOOKUP(C38, 'Food Chart'!A:C, 3, FALSE), ""))</f>
        <v/>
      </c>
      <c r="D40" s="65" t="str">
        <f>IF(C38="", "", IFERROR(VLOOKUP(C38, 'Food Chart'!A:D, 4, FALSE), ""))</f>
        <v/>
      </c>
      <c r="F40" s="76"/>
      <c r="P40" s="82"/>
      <c r="T40" s="7"/>
      <c r="U40" s="7"/>
      <c r="V40" s="7"/>
      <c r="W40" s="59"/>
      <c r="X40" s="7"/>
    </row>
    <row r="41" ht="15.75" customHeight="1">
      <c r="B41" s="21" t="s">
        <v>19</v>
      </c>
      <c r="C41" s="30"/>
      <c r="F41" s="76"/>
      <c r="P41" s="82"/>
      <c r="T41" s="7"/>
      <c r="U41" s="7"/>
      <c r="V41" s="7"/>
      <c r="W41" s="59"/>
      <c r="X41" s="7"/>
    </row>
    <row r="42" ht="15.75" customHeight="1">
      <c r="B42" s="38" t="s">
        <v>21</v>
      </c>
      <c r="C42" s="39"/>
      <c r="F42" s="76"/>
      <c r="P42" s="82"/>
      <c r="T42" s="7"/>
      <c r="U42" s="7"/>
      <c r="V42" s="7"/>
      <c r="W42" s="59"/>
      <c r="X42" s="7"/>
    </row>
    <row r="43" ht="15.75" customHeight="1">
      <c r="B43" s="7"/>
      <c r="C43" s="61"/>
      <c r="F43" s="76"/>
      <c r="P43" s="82"/>
      <c r="T43" s="7"/>
      <c r="U43" s="7"/>
      <c r="V43" s="7"/>
      <c r="W43" s="59"/>
      <c r="X43" s="7"/>
    </row>
    <row r="44" ht="15.75" customHeight="1">
      <c r="B44" s="8" t="s">
        <v>0</v>
      </c>
      <c r="C44" s="9"/>
      <c r="F44" s="76"/>
      <c r="P44" s="82"/>
      <c r="T44" s="7"/>
      <c r="U44" s="7"/>
      <c r="V44" s="7"/>
      <c r="W44" s="59"/>
      <c r="X44" s="7"/>
    </row>
    <row r="45" ht="15.75" customHeight="1">
      <c r="B45" s="17" t="s">
        <v>4</v>
      </c>
      <c r="C45" s="18" t="str">
        <f>IF(C44="", "", IFERROR(VLOOKUP(C44, 'Food Chart'!A:B, 2, FALSE), ""))</f>
        <v/>
      </c>
      <c r="F45" s="76"/>
      <c r="P45" s="82"/>
      <c r="T45" s="7"/>
      <c r="U45" s="7"/>
      <c r="V45" s="7"/>
      <c r="W45" s="59"/>
      <c r="X45" s="7"/>
    </row>
    <row r="46" ht="15.75" customHeight="1">
      <c r="B46" s="21" t="s">
        <v>6</v>
      </c>
      <c r="C46" s="22" t="str">
        <f>IF(C44="", "", IFERROR(VLOOKUP(C44, 'Food Chart'!A:C, 3, FALSE), ""))</f>
        <v/>
      </c>
      <c r="D46" s="65" t="str">
        <f>IF(C44="", "", IFERROR(VLOOKUP(C44, 'Food Chart'!A:D, 4, FALSE), ""))</f>
        <v/>
      </c>
      <c r="F46" s="76"/>
      <c r="P46" s="82"/>
      <c r="T46" s="7"/>
      <c r="U46" s="7"/>
      <c r="V46" s="7"/>
      <c r="W46" s="59"/>
      <c r="X46" s="7"/>
    </row>
    <row r="47" ht="15.75" customHeight="1">
      <c r="B47" s="21" t="s">
        <v>19</v>
      </c>
      <c r="C47" s="30"/>
      <c r="F47" s="76"/>
      <c r="P47" s="82"/>
      <c r="T47" s="7"/>
      <c r="U47" s="7"/>
      <c r="V47" s="7"/>
      <c r="W47" s="59"/>
      <c r="X47" s="7"/>
    </row>
    <row r="48" ht="15.75" customHeight="1">
      <c r="B48" s="38" t="s">
        <v>21</v>
      </c>
      <c r="C48" s="39"/>
      <c r="F48" s="76"/>
      <c r="P48" s="82"/>
      <c r="T48" s="7"/>
      <c r="U48" s="7"/>
      <c r="V48" s="7"/>
      <c r="W48" s="59"/>
      <c r="X48" s="7"/>
    </row>
    <row r="49" ht="15.75" customHeight="1">
      <c r="B49" s="7"/>
      <c r="C49" s="72"/>
      <c r="F49" s="76"/>
      <c r="P49" s="82"/>
      <c r="T49" s="7"/>
      <c r="U49" s="7"/>
      <c r="V49" s="7"/>
      <c r="W49" s="59"/>
      <c r="X49" s="7"/>
    </row>
    <row r="50" ht="15.75" customHeight="1">
      <c r="B50" s="8" t="s">
        <v>0</v>
      </c>
      <c r="C50" s="9"/>
      <c r="F50" s="76"/>
      <c r="P50" s="82"/>
      <c r="T50" s="7"/>
      <c r="U50" s="7"/>
      <c r="V50" s="7"/>
      <c r="W50" s="59"/>
      <c r="X50" s="7"/>
    </row>
    <row r="51" ht="15.75" customHeight="1">
      <c r="B51" s="17" t="s">
        <v>4</v>
      </c>
      <c r="C51" s="18" t="str">
        <f>IF(C50="", "", IFERROR(VLOOKUP(C50, 'Food Chart'!A:B, 2, FALSE), ""))</f>
        <v/>
      </c>
      <c r="F51" s="76"/>
      <c r="P51" s="82"/>
      <c r="T51" s="7"/>
      <c r="U51" s="7"/>
      <c r="V51" s="7"/>
      <c r="W51" s="59"/>
      <c r="X51" s="7"/>
    </row>
    <row r="52" ht="15.75" customHeight="1">
      <c r="B52" s="21" t="s">
        <v>6</v>
      </c>
      <c r="C52" s="22" t="str">
        <f>IF(C50="", "", IFERROR(VLOOKUP(C50, 'Food Chart'!A:C, 3, FALSE), ""))</f>
        <v/>
      </c>
      <c r="D52" s="65" t="str">
        <f>IF(C50="", "", IFERROR(VLOOKUP(C50, 'Food Chart'!A:D, 4, FALSE), ""))</f>
        <v/>
      </c>
      <c r="F52" s="76"/>
      <c r="P52" s="82"/>
      <c r="T52" s="7"/>
      <c r="U52" s="7"/>
      <c r="V52" s="7"/>
      <c r="W52" s="59"/>
      <c r="X52" s="7"/>
    </row>
    <row r="53" ht="15.75" customHeight="1">
      <c r="B53" s="21" t="s">
        <v>19</v>
      </c>
      <c r="C53" s="30"/>
      <c r="F53" s="76"/>
      <c r="P53" s="82"/>
      <c r="T53" s="7"/>
      <c r="U53" s="7"/>
      <c r="V53" s="7"/>
      <c r="W53" s="59"/>
      <c r="X53" s="7"/>
    </row>
    <row r="54" ht="15.75" customHeight="1">
      <c r="B54" s="38" t="s">
        <v>21</v>
      </c>
      <c r="C54" s="39"/>
      <c r="F54" s="76"/>
      <c r="P54" s="82"/>
      <c r="T54" s="7"/>
      <c r="U54" s="7"/>
      <c r="V54" s="7"/>
      <c r="W54" s="59"/>
      <c r="X54" s="7"/>
    </row>
    <row r="55" ht="15.75" customHeight="1">
      <c r="B55" s="7"/>
      <c r="C55" s="61"/>
      <c r="F55" s="76"/>
      <c r="P55" s="82"/>
      <c r="T55" s="7"/>
      <c r="U55" s="7"/>
      <c r="V55" s="7"/>
      <c r="W55" s="59"/>
      <c r="X55" s="7"/>
    </row>
    <row r="56" ht="15.75" customHeight="1">
      <c r="B56" s="8" t="s">
        <v>0</v>
      </c>
      <c r="C56" s="9"/>
      <c r="F56" s="76"/>
      <c r="P56" s="82"/>
      <c r="T56" s="7"/>
      <c r="U56" s="7"/>
      <c r="V56" s="7"/>
      <c r="W56" s="59"/>
      <c r="X56" s="7"/>
    </row>
    <row r="57" ht="15.75" customHeight="1">
      <c r="B57" s="17" t="s">
        <v>4</v>
      </c>
      <c r="C57" s="18" t="str">
        <f>IF(C56="", "", IFERROR(VLOOKUP(C56, 'Food Chart'!A:B, 2, FALSE), ""))</f>
        <v/>
      </c>
      <c r="F57" s="76"/>
      <c r="P57" s="82"/>
      <c r="T57" s="7"/>
      <c r="U57" s="7"/>
      <c r="V57" s="7"/>
      <c r="W57" s="59"/>
      <c r="X57" s="7"/>
    </row>
    <row r="58" ht="15.75" customHeight="1">
      <c r="B58" s="21" t="s">
        <v>6</v>
      </c>
      <c r="C58" s="22" t="str">
        <f>IF(C56="", "", IFERROR(VLOOKUP(C56, 'Food Chart'!A:C, 3, FALSE), ""))</f>
        <v/>
      </c>
      <c r="D58" s="65" t="str">
        <f>IF(C56="", "", IFERROR(VLOOKUP(C56, 'Food Chart'!A:D, 4, FALSE), ""))</f>
        <v/>
      </c>
      <c r="F58" s="76"/>
      <c r="P58" s="82"/>
      <c r="T58" s="7"/>
      <c r="U58" s="7"/>
      <c r="V58" s="7"/>
      <c r="W58" s="59"/>
      <c r="X58" s="7"/>
    </row>
    <row r="59" ht="15.75" customHeight="1">
      <c r="B59" s="21" t="s">
        <v>19</v>
      </c>
      <c r="C59" s="30"/>
      <c r="F59" s="76"/>
      <c r="P59" s="82"/>
      <c r="T59" s="7"/>
      <c r="U59" s="7"/>
      <c r="V59" s="7"/>
      <c r="W59" s="59"/>
      <c r="X59" s="7"/>
    </row>
    <row r="60" ht="15.75" customHeight="1">
      <c r="B60" s="38" t="s">
        <v>21</v>
      </c>
      <c r="C60" s="39"/>
      <c r="F60" s="76"/>
      <c r="P60" s="82"/>
      <c r="T60" s="7"/>
      <c r="U60" s="7"/>
      <c r="V60" s="7"/>
      <c r="W60" s="59"/>
      <c r="X60" s="7"/>
    </row>
    <row r="61" ht="15.75" customHeight="1">
      <c r="B61" s="7"/>
      <c r="C61" s="59"/>
      <c r="F61" s="76"/>
      <c r="P61" s="82"/>
      <c r="T61" s="7"/>
      <c r="U61" s="7"/>
      <c r="V61" s="7"/>
      <c r="W61" s="59"/>
      <c r="X61" s="7"/>
    </row>
    <row r="62" ht="15.75" customHeight="1">
      <c r="B62" s="8" t="s">
        <v>0</v>
      </c>
      <c r="C62" s="9"/>
      <c r="F62" s="76"/>
      <c r="P62" s="82"/>
      <c r="T62" s="7"/>
      <c r="U62" s="7"/>
      <c r="V62" s="7"/>
      <c r="W62" s="59"/>
      <c r="X62" s="7"/>
    </row>
    <row r="63" ht="15.75" customHeight="1">
      <c r="B63" s="17" t="s">
        <v>4</v>
      </c>
      <c r="C63" s="18" t="str">
        <f>IF(C62="", "", IFERROR(VLOOKUP(C62, 'Food Chart'!A:B, 2, FALSE), ""))</f>
        <v/>
      </c>
      <c r="F63" s="76"/>
      <c r="P63" s="82"/>
      <c r="T63" s="7"/>
      <c r="U63" s="7"/>
      <c r="V63" s="7"/>
      <c r="W63" s="59"/>
      <c r="X63" s="7"/>
    </row>
    <row r="64" ht="15.75" customHeight="1">
      <c r="B64" s="21" t="s">
        <v>6</v>
      </c>
      <c r="C64" s="22" t="str">
        <f>IF(C62="", "", IFERROR(VLOOKUP(C62, 'Food Chart'!A:C, 3, FALSE), ""))</f>
        <v/>
      </c>
      <c r="D64" s="65" t="str">
        <f>IF(C62="", "", IFERROR(VLOOKUP(C62, 'Food Chart'!A:D, 4, FALSE), ""))</f>
        <v/>
      </c>
      <c r="F64" s="76"/>
      <c r="P64" s="82"/>
      <c r="T64" s="7"/>
      <c r="U64" s="7"/>
      <c r="V64" s="7"/>
      <c r="W64" s="59"/>
      <c r="X64" s="7"/>
    </row>
    <row r="65" ht="15.75" customHeight="1">
      <c r="B65" s="21" t="s">
        <v>19</v>
      </c>
      <c r="C65" s="30"/>
      <c r="F65" s="76"/>
      <c r="P65" s="82"/>
      <c r="T65" s="7"/>
      <c r="U65" s="7"/>
      <c r="V65" s="7"/>
      <c r="W65" s="59"/>
      <c r="X65" s="7"/>
    </row>
    <row r="66" ht="15.75" customHeight="1">
      <c r="B66" s="38" t="s">
        <v>21</v>
      </c>
      <c r="C66" s="39"/>
      <c r="F66" s="76"/>
      <c r="P66" s="82"/>
      <c r="T66" s="7"/>
      <c r="U66" s="7"/>
      <c r="V66" s="7"/>
      <c r="W66" s="59"/>
      <c r="X66" s="7"/>
    </row>
    <row r="67" ht="15.75" customHeight="1">
      <c r="B67" s="7"/>
      <c r="C67" s="41"/>
      <c r="F67" s="76"/>
      <c r="P67" s="82"/>
      <c r="T67" s="7"/>
      <c r="U67" s="7"/>
      <c r="V67" s="7"/>
      <c r="W67" s="59"/>
      <c r="X67" s="7"/>
    </row>
    <row r="68" ht="15.75" customHeight="1">
      <c r="B68" s="8" t="s">
        <v>0</v>
      </c>
      <c r="C68" s="9"/>
      <c r="F68" s="76"/>
      <c r="P68" s="82"/>
      <c r="T68" s="7"/>
      <c r="U68" s="7"/>
      <c r="V68" s="7"/>
      <c r="W68" s="59"/>
      <c r="X68" s="7"/>
    </row>
    <row r="69" ht="15.75" customHeight="1">
      <c r="B69" s="17" t="s">
        <v>4</v>
      </c>
      <c r="C69" s="18" t="str">
        <f>IF(C68="", "", IFERROR(VLOOKUP(C68, 'Food Chart'!A:B, 2, FALSE), ""))</f>
        <v/>
      </c>
      <c r="F69" s="76"/>
      <c r="P69" s="82"/>
      <c r="T69" s="7"/>
      <c r="U69" s="7"/>
      <c r="V69" s="7"/>
      <c r="W69" s="59"/>
      <c r="X69" s="7"/>
    </row>
    <row r="70" ht="15.75" customHeight="1">
      <c r="B70" s="21" t="s">
        <v>6</v>
      </c>
      <c r="C70" s="22" t="str">
        <f>IF(C68="", "", IFERROR(VLOOKUP(C68, 'Food Chart'!A:C, 3, FALSE), ""))</f>
        <v/>
      </c>
      <c r="D70" s="65" t="str">
        <f>IF(C68="", "", IFERROR(VLOOKUP(C68, 'Food Chart'!A:D, 4, FALSE), ""))</f>
        <v/>
      </c>
      <c r="F70" s="76"/>
      <c r="P70" s="82"/>
      <c r="T70" s="7"/>
      <c r="U70" s="7"/>
      <c r="V70" s="7"/>
      <c r="W70" s="59"/>
      <c r="X70" s="7"/>
    </row>
    <row r="71" ht="15.75" customHeight="1">
      <c r="B71" s="21" t="s">
        <v>19</v>
      </c>
      <c r="C71" s="30"/>
      <c r="F71" s="76"/>
      <c r="P71" s="82"/>
      <c r="T71" s="7"/>
      <c r="U71" s="7"/>
      <c r="V71" s="7"/>
      <c r="W71" s="59"/>
      <c r="X71" s="7"/>
    </row>
    <row r="72" ht="15.75" customHeight="1">
      <c r="B72" s="38" t="s">
        <v>21</v>
      </c>
      <c r="C72" s="39"/>
      <c r="F72" s="76"/>
      <c r="P72" s="82"/>
      <c r="T72" s="7"/>
      <c r="U72" s="7"/>
      <c r="V72" s="7"/>
      <c r="W72" s="59"/>
      <c r="X72" s="7"/>
    </row>
    <row r="73" ht="15.75" customHeight="1">
      <c r="B73" s="7"/>
      <c r="C73" s="61"/>
      <c r="F73" s="76"/>
      <c r="P73" s="82"/>
      <c r="T73" s="7"/>
      <c r="U73" s="7"/>
      <c r="V73" s="7"/>
      <c r="W73" s="59"/>
      <c r="X73" s="7"/>
    </row>
    <row r="74" ht="15.75" customHeight="1">
      <c r="B74" s="8" t="s">
        <v>0</v>
      </c>
      <c r="C74" s="9"/>
      <c r="F74" s="76"/>
      <c r="P74" s="82"/>
      <c r="T74" s="7"/>
      <c r="U74" s="7"/>
      <c r="V74" s="7"/>
      <c r="W74" s="59"/>
      <c r="X74" s="7"/>
    </row>
    <row r="75" ht="15.75" customHeight="1">
      <c r="B75" s="17" t="s">
        <v>4</v>
      </c>
      <c r="C75" s="18" t="str">
        <f>IF(C74="", "", IFERROR(VLOOKUP(C74, 'Food Chart'!A:B, 2, FALSE), ""))</f>
        <v/>
      </c>
      <c r="F75" s="76"/>
      <c r="P75" s="82"/>
      <c r="T75" s="7"/>
      <c r="U75" s="7"/>
      <c r="V75" s="7"/>
      <c r="W75" s="59"/>
      <c r="X75" s="7"/>
    </row>
    <row r="76" ht="15.75" customHeight="1">
      <c r="B76" s="21" t="s">
        <v>6</v>
      </c>
      <c r="C76" s="22" t="str">
        <f>IF(C74="", "", IFERROR(VLOOKUP(C74, 'Food Chart'!A:C, 3, FALSE), ""))</f>
        <v/>
      </c>
      <c r="D76" s="65" t="str">
        <f>IF(C74="", "", IFERROR(VLOOKUP(C74, 'Food Chart'!A:D, 4, FALSE), ""))</f>
        <v/>
      </c>
      <c r="F76" s="76"/>
      <c r="P76" s="82"/>
      <c r="T76" s="7"/>
      <c r="U76" s="7"/>
      <c r="V76" s="7"/>
      <c r="W76" s="59"/>
      <c r="X76" s="7"/>
    </row>
    <row r="77" ht="15.75" customHeight="1">
      <c r="B77" s="21" t="s">
        <v>19</v>
      </c>
      <c r="C77" s="30"/>
      <c r="F77" s="76"/>
      <c r="P77" s="82"/>
      <c r="T77" s="7"/>
      <c r="U77" s="7"/>
      <c r="V77" s="7"/>
      <c r="W77" s="59"/>
      <c r="X77" s="7"/>
    </row>
    <row r="78" ht="15.75" customHeight="1">
      <c r="B78" s="38" t="s">
        <v>21</v>
      </c>
      <c r="C78" s="39"/>
      <c r="F78" s="76"/>
      <c r="P78" s="82"/>
      <c r="T78" s="7"/>
      <c r="U78" s="7"/>
      <c r="V78" s="7"/>
      <c r="W78" s="59"/>
      <c r="X78" s="7"/>
    </row>
    <row r="79" ht="15.75" customHeight="1">
      <c r="B79" s="7"/>
      <c r="C79" s="72"/>
      <c r="F79" s="76"/>
      <c r="P79" s="82"/>
      <c r="T79" s="7"/>
      <c r="U79" s="7"/>
      <c r="V79" s="7"/>
      <c r="W79" s="59"/>
      <c r="X79" s="7"/>
    </row>
    <row r="80" ht="15.75" customHeight="1">
      <c r="B80" s="8" t="s">
        <v>0</v>
      </c>
      <c r="C80" s="9"/>
      <c r="F80" s="76"/>
      <c r="P80" s="82"/>
      <c r="T80" s="7"/>
      <c r="U80" s="7"/>
      <c r="V80" s="7"/>
      <c r="W80" s="59"/>
      <c r="X80" s="7"/>
    </row>
    <row r="81">
      <c r="B81" s="17" t="s">
        <v>4</v>
      </c>
      <c r="C81" s="18" t="str">
        <f>IF(C80="", "", IFERROR(VLOOKUP(C80, 'Food Chart'!A:B, 2, FALSE), ""))</f>
        <v/>
      </c>
      <c r="F81" s="76"/>
      <c r="P81" s="82"/>
      <c r="T81" s="7"/>
      <c r="U81" s="7"/>
      <c r="V81" s="7"/>
      <c r="W81" s="59"/>
      <c r="X81" s="7"/>
    </row>
    <row r="82">
      <c r="B82" s="21" t="s">
        <v>6</v>
      </c>
      <c r="C82" s="22" t="str">
        <f>IF(C80="", "", IFERROR(VLOOKUP(C80, 'Food Chart'!A:C, 3, FALSE), ""))</f>
        <v/>
      </c>
      <c r="D82" s="65" t="str">
        <f>IF(C80="", "", IFERROR(VLOOKUP(C80, 'Food Chart'!A:D, 4, FALSE), ""))</f>
        <v/>
      </c>
      <c r="F82" s="76"/>
      <c r="P82" s="82"/>
      <c r="T82" s="7"/>
      <c r="U82" s="7"/>
      <c r="V82" s="7"/>
      <c r="W82" s="59"/>
      <c r="X82" s="7"/>
    </row>
    <row r="83">
      <c r="B83" s="21" t="s">
        <v>19</v>
      </c>
      <c r="C83" s="30"/>
      <c r="F83" s="76"/>
      <c r="P83" s="82"/>
      <c r="T83" s="7"/>
      <c r="U83" s="7"/>
      <c r="V83" s="7"/>
      <c r="W83" s="59"/>
      <c r="X83" s="7"/>
    </row>
    <row r="84">
      <c r="B84" s="38" t="s">
        <v>21</v>
      </c>
      <c r="C84" s="39"/>
      <c r="F84" s="76"/>
      <c r="P84" s="82"/>
      <c r="T84" s="7"/>
      <c r="U84" s="7"/>
      <c r="V84" s="7"/>
      <c r="W84" s="59"/>
      <c r="X84" s="7"/>
    </row>
    <row r="85">
      <c r="B85" s="7"/>
      <c r="C85" s="61"/>
      <c r="F85" s="76"/>
      <c r="P85" s="82"/>
      <c r="T85" s="7"/>
      <c r="U85" s="7"/>
      <c r="V85" s="7"/>
      <c r="W85" s="59"/>
      <c r="X85" s="7"/>
    </row>
    <row r="86">
      <c r="B86" s="8" t="s">
        <v>0</v>
      </c>
      <c r="C86" s="9"/>
      <c r="F86" s="76"/>
      <c r="P86" s="82"/>
      <c r="T86" s="7"/>
      <c r="U86" s="7"/>
      <c r="V86" s="7"/>
      <c r="W86" s="59"/>
      <c r="X86" s="7"/>
    </row>
    <row r="87">
      <c r="B87" s="17" t="s">
        <v>4</v>
      </c>
      <c r="C87" s="18" t="str">
        <f>IF(C86="", "", IFERROR(VLOOKUP(C86, 'Food Chart'!A:B, 2, FALSE), ""))</f>
        <v/>
      </c>
      <c r="F87" s="76"/>
      <c r="P87" s="82"/>
      <c r="T87" s="7"/>
      <c r="U87" s="7"/>
      <c r="V87" s="7"/>
      <c r="W87" s="59"/>
      <c r="X87" s="7"/>
    </row>
    <row r="88">
      <c r="B88" s="21" t="s">
        <v>6</v>
      </c>
      <c r="C88" s="22" t="str">
        <f>IF(C86="", "", IFERROR(VLOOKUP(C86, 'Food Chart'!A:C, 3, FALSE), ""))</f>
        <v/>
      </c>
      <c r="D88" s="65" t="str">
        <f>IF(C86="", "", IFERROR(VLOOKUP(C86, 'Food Chart'!A:D, 4, FALSE), ""))</f>
        <v/>
      </c>
      <c r="F88" s="76"/>
      <c r="P88" s="82"/>
      <c r="T88" s="7"/>
      <c r="U88" s="7"/>
      <c r="V88" s="7"/>
      <c r="W88" s="59"/>
      <c r="X88" s="7"/>
    </row>
    <row r="89">
      <c r="B89" s="21" t="s">
        <v>19</v>
      </c>
      <c r="C89" s="30"/>
      <c r="F89" s="76"/>
      <c r="P89" s="82"/>
      <c r="T89" s="7"/>
      <c r="U89" s="7"/>
      <c r="V89" s="7"/>
      <c r="W89" s="59"/>
      <c r="X89" s="7"/>
    </row>
    <row r="90">
      <c r="B90" s="38" t="s">
        <v>21</v>
      </c>
      <c r="C90" s="39"/>
      <c r="F90" s="76"/>
      <c r="P90" s="82"/>
      <c r="T90" s="7"/>
      <c r="U90" s="7"/>
      <c r="V90" s="7"/>
      <c r="W90" s="59"/>
      <c r="X90" s="7"/>
    </row>
    <row r="91">
      <c r="B91" s="7"/>
      <c r="C91" s="59"/>
      <c r="F91" s="76"/>
      <c r="P91" s="82"/>
      <c r="T91" s="7"/>
      <c r="U91" s="7"/>
      <c r="V91" s="7"/>
      <c r="W91" s="59"/>
      <c r="X91" s="7"/>
    </row>
  </sheetData>
  <mergeCells count="8">
    <mergeCell ref="I2:M2"/>
    <mergeCell ref="P2:W2"/>
    <mergeCell ref="E13:E14"/>
    <mergeCell ref="F13:F14"/>
    <mergeCell ref="E22:F22"/>
    <mergeCell ref="E23:F23"/>
    <mergeCell ref="E24:F24"/>
    <mergeCell ref="E25:F25"/>
  </mergeCells>
  <dataValidations>
    <dataValidation type="list" allowBlank="1" sqref="C2 C8 C14 C20 C26 C32 C38 C44 C50 C56 C62 C68 C74 C80 C86">
      <formula1>'Food Chart'!$A$2:$A$1000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16.13"/>
    <col customWidth="1" min="3" max="3" width="32.0"/>
    <col customWidth="1" min="4" max="4" width="5.13"/>
    <col customWidth="1" min="5" max="5" width="30.75"/>
    <col customWidth="1" min="6" max="6" width="9.25"/>
    <col customWidth="1" min="7" max="8" width="5.13"/>
    <col customWidth="1" min="9" max="9" width="15.13"/>
    <col customWidth="1" min="10" max="10" width="17.88"/>
    <col customWidth="1" min="11" max="11" width="6.13"/>
    <col customWidth="1" min="12" max="12" width="6.63"/>
    <col customWidth="1" min="13" max="13" width="7.13"/>
    <col customWidth="1" min="14" max="15" width="2.75"/>
    <col customWidth="1" min="16" max="16" width="12.38"/>
    <col customWidth="1" min="17" max="17" width="11.13"/>
    <col customWidth="1" min="18" max="18" width="14.75"/>
    <col customWidth="1" min="19" max="19" width="12.5"/>
    <col customWidth="1" min="20" max="20" width="9.75"/>
    <col customWidth="1" min="21" max="21" width="2.75"/>
    <col customWidth="1" min="22" max="22" width="13.75"/>
    <col customWidth="1" min="23" max="23" width="4.88"/>
    <col customWidth="1" min="24" max="24" width="2.75"/>
  </cols>
  <sheetData>
    <row r="1" ht="7.5" customHeight="1">
      <c r="A1" s="1"/>
      <c r="B1" s="2"/>
      <c r="C1" s="3"/>
      <c r="D1" s="4"/>
      <c r="E1" s="4"/>
      <c r="F1" s="5"/>
      <c r="G1" s="4"/>
      <c r="H1" s="4"/>
      <c r="I1" s="4"/>
      <c r="J1" s="4"/>
      <c r="K1" s="4"/>
      <c r="L1" s="4"/>
      <c r="M1" s="4"/>
      <c r="N1" s="4"/>
      <c r="O1" s="4"/>
      <c r="P1" s="6"/>
      <c r="Q1" s="4"/>
      <c r="R1" s="4"/>
      <c r="S1" s="4"/>
      <c r="T1" s="2"/>
      <c r="U1" s="2"/>
      <c r="V1" s="2"/>
      <c r="W1" s="3"/>
      <c r="X1" s="7"/>
    </row>
    <row r="2" ht="15.75" customHeight="1">
      <c r="A2" s="1"/>
      <c r="B2" s="8" t="s">
        <v>0</v>
      </c>
      <c r="C2" s="9"/>
      <c r="D2" s="10"/>
      <c r="E2" s="11" t="s">
        <v>74</v>
      </c>
      <c r="F2" s="12">
        <v>20.8</v>
      </c>
      <c r="G2" s="4"/>
      <c r="H2" s="4"/>
      <c r="I2" s="13" t="s">
        <v>2</v>
      </c>
      <c r="J2" s="14"/>
      <c r="K2" s="14"/>
      <c r="L2" s="14"/>
      <c r="M2" s="15"/>
      <c r="N2" s="4"/>
      <c r="O2" s="4"/>
      <c r="P2" s="16" t="s">
        <v>3</v>
      </c>
      <c r="Q2" s="14"/>
      <c r="R2" s="14"/>
      <c r="S2" s="14"/>
      <c r="T2" s="14"/>
      <c r="U2" s="14"/>
      <c r="V2" s="14"/>
      <c r="W2" s="15"/>
      <c r="X2" s="7"/>
    </row>
    <row r="3" ht="15.75" customHeight="1">
      <c r="A3" s="1"/>
      <c r="B3" s="17" t="s">
        <v>4</v>
      </c>
      <c r="C3" s="18" t="str">
        <f>IF(C2="", "", IFERROR(VLOOKUP(C2, 'Food Chart'!A:B, 2, FALSE), ""))</f>
        <v/>
      </c>
      <c r="D3" s="4"/>
      <c r="E3" s="19" t="s">
        <v>75</v>
      </c>
      <c r="F3" s="20">
        <v>6.2</v>
      </c>
      <c r="G3" s="4"/>
      <c r="H3" s="4"/>
      <c r="I3" s="4"/>
      <c r="J3" s="4"/>
      <c r="K3" s="4"/>
      <c r="L3" s="4"/>
      <c r="M3" s="4"/>
      <c r="N3" s="4"/>
      <c r="O3" s="4"/>
      <c r="P3" s="6"/>
      <c r="Q3" s="4"/>
      <c r="R3" s="4"/>
      <c r="S3" s="4"/>
      <c r="T3" s="2"/>
      <c r="U3" s="2"/>
      <c r="V3" s="2"/>
      <c r="W3" s="3"/>
      <c r="X3" s="7"/>
    </row>
    <row r="4" ht="15.75" customHeight="1">
      <c r="A4" s="1"/>
      <c r="B4" s="21" t="s">
        <v>6</v>
      </c>
      <c r="C4" s="22" t="str">
        <f>IF(C2="", "", IFERROR(VLOOKUP(C2, 'Food Chart'!A:C, 3, FALSE), ""))</f>
        <v/>
      </c>
      <c r="D4" s="4" t="str">
        <f>IF(C2="", "", IFERROR(VLOOKUP(C2, 'Food Chart'!A:D, 4, FALSE), ""))</f>
        <v/>
      </c>
      <c r="E4" s="23" t="s">
        <v>76</v>
      </c>
      <c r="F4" s="24">
        <v>8.5</v>
      </c>
      <c r="G4" s="4"/>
      <c r="H4" s="4"/>
      <c r="I4" s="25" t="s">
        <v>8</v>
      </c>
      <c r="J4" s="25" t="s">
        <v>9</v>
      </c>
      <c r="K4" s="25" t="s">
        <v>10</v>
      </c>
      <c r="L4" s="25" t="s">
        <v>11</v>
      </c>
      <c r="M4" s="25" t="s">
        <v>12</v>
      </c>
      <c r="N4" s="4"/>
      <c r="O4" s="4"/>
      <c r="P4" s="26" t="s">
        <v>13</v>
      </c>
      <c r="Q4" s="25" t="s">
        <v>14</v>
      </c>
      <c r="R4" s="25" t="s">
        <v>15</v>
      </c>
      <c r="S4" s="25" t="s">
        <v>16</v>
      </c>
      <c r="T4" s="27" t="s">
        <v>17</v>
      </c>
      <c r="U4" s="2"/>
      <c r="V4" s="28" t="s">
        <v>18</v>
      </c>
      <c r="W4" s="29"/>
      <c r="X4" s="7"/>
    </row>
    <row r="5" ht="15.75" customHeight="1">
      <c r="A5" s="4"/>
      <c r="B5" s="21" t="s">
        <v>19</v>
      </c>
      <c r="C5" s="30"/>
      <c r="D5" s="4"/>
      <c r="E5" s="2"/>
      <c r="F5" s="31"/>
      <c r="G5" s="4"/>
      <c r="H5" s="4"/>
      <c r="I5" s="32"/>
      <c r="J5" s="33"/>
      <c r="K5" s="34"/>
      <c r="L5" s="33"/>
      <c r="M5" s="33"/>
      <c r="N5" s="4"/>
      <c r="O5" s="4"/>
      <c r="P5" s="35"/>
      <c r="Q5" s="33"/>
      <c r="R5" s="33"/>
      <c r="S5" s="33"/>
      <c r="T5" s="36"/>
      <c r="U5" s="2"/>
      <c r="V5" s="28" t="s">
        <v>20</v>
      </c>
      <c r="W5" s="37"/>
      <c r="X5" s="7"/>
    </row>
    <row r="6" ht="15.75" customHeight="1">
      <c r="A6" s="10"/>
      <c r="B6" s="38" t="s">
        <v>21</v>
      </c>
      <c r="C6" s="39"/>
      <c r="D6" s="4"/>
      <c r="E6" s="11" t="s">
        <v>77</v>
      </c>
      <c r="F6" s="40">
        <v>10.4</v>
      </c>
      <c r="G6" s="10" t="s">
        <v>41</v>
      </c>
      <c r="H6" s="4"/>
      <c r="I6" s="32"/>
      <c r="J6" s="33"/>
      <c r="K6" s="34"/>
      <c r="L6" s="33"/>
      <c r="M6" s="33"/>
      <c r="N6" s="4"/>
      <c r="O6" s="4"/>
      <c r="P6" s="35"/>
      <c r="Q6" s="33"/>
      <c r="R6" s="33"/>
      <c r="S6" s="33"/>
      <c r="T6" s="36"/>
      <c r="U6" s="2"/>
      <c r="V6" s="28" t="s">
        <v>23</v>
      </c>
      <c r="W6" s="37"/>
      <c r="X6" s="7"/>
    </row>
    <row r="7" ht="15.75" customHeight="1">
      <c r="A7" s="10"/>
      <c r="B7" s="7"/>
      <c r="C7" s="41"/>
      <c r="D7" s="10"/>
      <c r="E7" s="23" t="s">
        <v>78</v>
      </c>
      <c r="F7" s="42"/>
      <c r="G7" s="4"/>
      <c r="H7" s="4"/>
      <c r="I7" s="32"/>
      <c r="J7" s="33"/>
      <c r="K7" s="34"/>
      <c r="L7" s="33"/>
      <c r="M7" s="33"/>
      <c r="N7" s="4"/>
      <c r="O7" s="4"/>
      <c r="P7" s="35"/>
      <c r="Q7" s="33"/>
      <c r="R7" s="33"/>
      <c r="S7" s="33"/>
      <c r="T7" s="36"/>
      <c r="U7" s="2"/>
      <c r="V7" s="28" t="s">
        <v>25</v>
      </c>
      <c r="W7" s="43"/>
      <c r="X7" s="7"/>
    </row>
    <row r="8" ht="15.75" customHeight="1">
      <c r="A8" s="4"/>
      <c r="B8" s="8" t="s">
        <v>0</v>
      </c>
      <c r="C8" s="9"/>
      <c r="D8" s="10"/>
      <c r="E8" s="44" t="s">
        <v>79</v>
      </c>
      <c r="F8" s="42"/>
      <c r="G8" s="4"/>
      <c r="H8" s="4"/>
      <c r="I8" s="32"/>
      <c r="J8" s="33"/>
      <c r="K8" s="34"/>
      <c r="L8" s="33"/>
      <c r="M8" s="33"/>
      <c r="N8" s="4"/>
      <c r="O8" s="4"/>
      <c r="P8" s="35"/>
      <c r="Q8" s="33"/>
      <c r="R8" s="33"/>
      <c r="S8" s="33"/>
      <c r="T8" s="36"/>
      <c r="U8" s="2"/>
      <c r="W8" s="45"/>
      <c r="X8" s="7"/>
    </row>
    <row r="9" ht="15.75" customHeight="1">
      <c r="A9" s="10"/>
      <c r="B9" s="17" t="s">
        <v>4</v>
      </c>
      <c r="C9" s="18" t="str">
        <f>IF(C8="", "", IFERROR(VLOOKUP(C8, 'Food Chart'!A:B, 2, FALSE), ""))</f>
        <v/>
      </c>
      <c r="D9" s="4"/>
      <c r="E9" s="31"/>
      <c r="F9" s="46"/>
      <c r="G9" s="4"/>
      <c r="H9" s="4"/>
      <c r="I9" s="32"/>
      <c r="J9" s="33"/>
      <c r="K9" s="34"/>
      <c r="L9" s="33"/>
      <c r="M9" s="33"/>
      <c r="N9" s="4"/>
      <c r="O9" s="4"/>
      <c r="P9" s="35"/>
      <c r="Q9" s="47"/>
      <c r="R9" s="47"/>
      <c r="S9" s="47"/>
      <c r="T9" s="48"/>
      <c r="U9" s="2"/>
      <c r="V9" s="28" t="s">
        <v>16</v>
      </c>
      <c r="W9" s="49"/>
      <c r="X9" s="7"/>
    </row>
    <row r="10" ht="15.75" customHeight="1">
      <c r="A10" s="50"/>
      <c r="B10" s="21" t="s">
        <v>6</v>
      </c>
      <c r="C10" s="22" t="str">
        <f>IF(C8="", "", IFERROR(VLOOKUP(C8, 'Food Chart'!A:C, 3, FALSE), ""))</f>
        <v/>
      </c>
      <c r="D10" s="4" t="str">
        <f>IF(C8="", "", IFERROR(VLOOKUP(C8, 'Food Chart'!A:D, 4, FALSE), ""))</f>
        <v/>
      </c>
      <c r="E10" s="11" t="s">
        <v>80</v>
      </c>
      <c r="F10" s="51">
        <v>1.22</v>
      </c>
      <c r="G10" s="4"/>
      <c r="H10" s="4"/>
      <c r="I10" s="32"/>
      <c r="J10" s="33"/>
      <c r="K10" s="34"/>
      <c r="L10" s="33"/>
      <c r="M10" s="33"/>
      <c r="N10" s="4"/>
      <c r="O10" s="4"/>
      <c r="P10" s="52"/>
      <c r="Q10" s="53"/>
      <c r="R10" s="53"/>
      <c r="S10" s="53"/>
      <c r="T10" s="54"/>
      <c r="U10" s="2"/>
      <c r="V10" s="28" t="s">
        <v>28</v>
      </c>
      <c r="W10" s="37"/>
      <c r="X10" s="7"/>
    </row>
    <row r="11" ht="15.75" customHeight="1">
      <c r="B11" s="21" t="s">
        <v>19</v>
      </c>
      <c r="C11" s="30"/>
      <c r="E11" s="23" t="s">
        <v>81</v>
      </c>
      <c r="F11" s="55">
        <v>15.2</v>
      </c>
      <c r="P11" s="56"/>
      <c r="Q11" s="57"/>
      <c r="R11" s="57"/>
      <c r="S11" s="57"/>
      <c r="T11" s="58"/>
      <c r="U11" s="7"/>
      <c r="V11" s="7"/>
      <c r="W11" s="59"/>
      <c r="X11" s="7"/>
    </row>
    <row r="12" ht="15.75" customHeight="1">
      <c r="B12" s="38" t="s">
        <v>21</v>
      </c>
      <c r="C12" s="39"/>
      <c r="D12" s="60"/>
      <c r="P12" s="56"/>
      <c r="Q12" s="57"/>
      <c r="R12" s="57"/>
      <c r="S12" s="57"/>
      <c r="T12" s="58"/>
      <c r="U12" s="7"/>
      <c r="V12" s="7"/>
      <c r="W12" s="59"/>
      <c r="X12" s="7"/>
    </row>
    <row r="13" ht="15.75" customHeight="1">
      <c r="B13" s="7"/>
      <c r="C13" s="61"/>
      <c r="E13" s="62" t="s">
        <v>30</v>
      </c>
      <c r="F13" s="63">
        <f>IF(OR(F2&lt;=0,F4&lt;=0),"",IF(AND(F6=0,F7=0),"",FLOOR(MAX(0,IF(F2&gt;0,F7/F2,0)+IF(AND(F4&gt;0,F3&gt;0,F6&gt;0),(F6-F3)/F4,0)-IF(F10&gt;0,F10,0)-IF(F11&gt;0,F11/F2,0)),0.05)))</f>
        <v>0</v>
      </c>
      <c r="P13" s="56"/>
      <c r="Q13" s="57"/>
      <c r="R13" s="57"/>
      <c r="S13" s="57"/>
      <c r="T13" s="58"/>
      <c r="U13" s="7"/>
      <c r="V13" s="7"/>
      <c r="W13" s="59"/>
      <c r="X13" s="7"/>
    </row>
    <row r="14" ht="15.75" customHeight="1">
      <c r="B14" s="8" t="s">
        <v>0</v>
      </c>
      <c r="C14" s="9"/>
      <c r="E14" s="64"/>
      <c r="F14" s="64"/>
      <c r="P14" s="56"/>
      <c r="Q14" s="57"/>
      <c r="R14" s="57"/>
      <c r="S14" s="57"/>
      <c r="T14" s="58"/>
      <c r="U14" s="7"/>
      <c r="V14" s="7"/>
      <c r="W14" s="59"/>
      <c r="X14" s="7"/>
    </row>
    <row r="15" ht="15.75" customHeight="1">
      <c r="B15" s="17" t="s">
        <v>4</v>
      </c>
      <c r="C15" s="18" t="str">
        <f>IF(C14="", "", IFERROR(VLOOKUP(C14, 'Food Chart'!A:B, 2, FALSE), ""))</f>
        <v/>
      </c>
      <c r="P15" s="56"/>
      <c r="Q15" s="57"/>
      <c r="R15" s="57"/>
      <c r="S15" s="57"/>
      <c r="T15" s="58"/>
      <c r="U15" s="7"/>
      <c r="V15" s="7"/>
      <c r="W15" s="59"/>
      <c r="X15" s="7"/>
    </row>
    <row r="16" ht="15.75" customHeight="1">
      <c r="B16" s="21" t="s">
        <v>6</v>
      </c>
      <c r="C16" s="22" t="str">
        <f>IF(C14="", "", IFERROR(VLOOKUP(C14, 'Food Chart'!A:C, 3, FALSE), ""))</f>
        <v/>
      </c>
      <c r="D16" s="65" t="str">
        <f>IF(C14="", "", IFERROR(VLOOKUP(C14, 'Food Chart'!A:D, 4, FALSE), ""))</f>
        <v/>
      </c>
      <c r="E16" s="66" t="str">
        <f>IFERROR(__xludf.DUMMYFUNCTION("IF(F14="""", ""Bolus time"",
   IF(ISTEXT(F14),
      F14,
      REGEXREPLACE(REGEXREPLACE(TEXT(FLOOR(F14, 0.05), ""0.00""), ""([.,]\d)0$"", ""$1""), ""[.,]0$"", """")
   ) &amp; "" U bolus at""
)"),"Bolus time")</f>
        <v>Bolus time</v>
      </c>
      <c r="F16" s="67"/>
      <c r="P16" s="56"/>
      <c r="Q16" s="57"/>
      <c r="R16" s="57"/>
      <c r="S16" s="57"/>
      <c r="T16" s="58"/>
      <c r="U16" s="7"/>
      <c r="V16" s="7"/>
      <c r="W16" s="59"/>
      <c r="X16" s="7"/>
    </row>
    <row r="17" ht="15.75" customHeight="1">
      <c r="B17" s="21" t="s">
        <v>19</v>
      </c>
      <c r="C17" s="30"/>
      <c r="D17" s="60"/>
      <c r="E17" s="68" t="s">
        <v>32</v>
      </c>
      <c r="F17" s="69"/>
      <c r="J17" s="60" t="s">
        <v>33</v>
      </c>
      <c r="P17" s="56"/>
      <c r="Q17" s="57"/>
      <c r="R17" s="57"/>
      <c r="S17" s="57"/>
      <c r="T17" s="58"/>
      <c r="U17" s="7"/>
      <c r="V17" s="7"/>
      <c r="W17" s="70"/>
      <c r="X17" s="71"/>
    </row>
    <row r="18" ht="15.75" customHeight="1">
      <c r="B18" s="38" t="s">
        <v>21</v>
      </c>
      <c r="C18" s="39"/>
      <c r="E18" s="68" t="s">
        <v>82</v>
      </c>
      <c r="F18" s="69"/>
      <c r="P18" s="56"/>
      <c r="Q18" s="57"/>
      <c r="R18" s="57"/>
      <c r="S18" s="57"/>
      <c r="T18" s="58"/>
      <c r="U18" s="7"/>
      <c r="V18" s="7"/>
      <c r="W18" s="70"/>
      <c r="X18" s="71"/>
    </row>
    <row r="19" ht="15.75" customHeight="1">
      <c r="B19" s="7"/>
      <c r="C19" s="72"/>
      <c r="E19" s="73" t="s">
        <v>35</v>
      </c>
      <c r="F19" s="74" t="str">
        <f>IF(OR(F18="",F16=""),"",ROUND((F18-F16)*24*60,0)&amp;" minutes")</f>
        <v/>
      </c>
      <c r="P19" s="56"/>
      <c r="Q19" s="57"/>
      <c r="R19" s="57"/>
      <c r="S19" s="57"/>
      <c r="T19" s="58"/>
      <c r="U19" s="7"/>
      <c r="V19" s="7"/>
      <c r="W19" s="59"/>
      <c r="X19" s="7"/>
    </row>
    <row r="20" ht="15.75" customHeight="1">
      <c r="B20" s="8" t="s">
        <v>0</v>
      </c>
      <c r="C20" s="9"/>
      <c r="F20" s="76"/>
      <c r="P20" s="56"/>
      <c r="Q20" s="57"/>
      <c r="R20" s="57"/>
      <c r="S20" s="57"/>
      <c r="T20" s="58"/>
      <c r="U20" s="7"/>
      <c r="V20" s="7"/>
      <c r="W20" s="59"/>
      <c r="X20" s="7"/>
    </row>
    <row r="21" ht="15.75" customHeight="1">
      <c r="B21" s="17" t="s">
        <v>4</v>
      </c>
      <c r="C21" s="18" t="str">
        <f>IF(C20="", "", IFERROR(VLOOKUP(C20, 'Food Chart'!A:B, 2, FALSE), ""))</f>
        <v/>
      </c>
      <c r="P21" s="56"/>
      <c r="Q21" s="57"/>
      <c r="R21" s="57"/>
      <c r="S21" s="57"/>
      <c r="T21" s="58"/>
      <c r="U21" s="7"/>
      <c r="V21" s="7"/>
      <c r="W21" s="59"/>
      <c r="X21" s="7"/>
    </row>
    <row r="22" ht="15.75" customHeight="1">
      <c r="B22" s="21" t="s">
        <v>6</v>
      </c>
      <c r="C22" s="22" t="str">
        <f>IF(C20="", "", IFERROR(VLOOKUP(C20, 'Food Chart'!A:C, 3, FALSE), ""))</f>
        <v/>
      </c>
      <c r="D22" s="60" t="str">
        <f>IF(C20="", "", IFERROR(VLOOKUP(C20, 'Food Chart'!A:D, 4, FALSE), ""))</f>
        <v/>
      </c>
      <c r="E22" s="77" t="s">
        <v>36</v>
      </c>
      <c r="F22" s="78"/>
      <c r="P22" s="56"/>
      <c r="Q22" s="57"/>
      <c r="R22" s="57"/>
      <c r="S22" s="57"/>
      <c r="T22" s="58"/>
      <c r="U22" s="7"/>
      <c r="V22" s="7"/>
      <c r="W22" s="70"/>
      <c r="X22" s="71"/>
    </row>
    <row r="23" ht="15.75" customHeight="1">
      <c r="B23" s="21" t="s">
        <v>19</v>
      </c>
      <c r="C23" s="30"/>
      <c r="E23" s="80"/>
      <c r="F23" s="78"/>
      <c r="P23" s="56"/>
      <c r="Q23" s="57"/>
      <c r="R23" s="57"/>
      <c r="S23" s="57"/>
      <c r="T23" s="58"/>
      <c r="U23" s="7"/>
      <c r="V23" s="7"/>
      <c r="W23" s="70"/>
      <c r="X23" s="71"/>
    </row>
    <row r="24" ht="15.75" customHeight="1">
      <c r="B24" s="38" t="s">
        <v>21</v>
      </c>
      <c r="C24" s="39"/>
      <c r="E24" s="80"/>
      <c r="F24" s="78"/>
      <c r="K24" s="81"/>
      <c r="P24" s="56"/>
      <c r="Q24" s="57"/>
      <c r="R24" s="57"/>
      <c r="S24" s="57"/>
      <c r="T24" s="58"/>
      <c r="U24" s="7"/>
      <c r="V24" s="7"/>
      <c r="W24" s="70"/>
      <c r="X24" s="71"/>
    </row>
    <row r="25" ht="15.75" customHeight="1">
      <c r="B25" s="7"/>
      <c r="C25" s="61"/>
      <c r="E25" s="80"/>
      <c r="F25" s="78"/>
      <c r="P25" s="82"/>
      <c r="T25" s="7"/>
      <c r="U25" s="7"/>
      <c r="V25" s="7"/>
      <c r="W25" s="70"/>
      <c r="X25" s="71"/>
    </row>
    <row r="26" ht="15.75" customHeight="1">
      <c r="B26" s="8" t="s">
        <v>0</v>
      </c>
      <c r="C26" s="9"/>
      <c r="E26" s="83"/>
      <c r="F26" s="83"/>
      <c r="P26" s="82"/>
      <c r="T26" s="7"/>
      <c r="U26" s="7"/>
      <c r="V26" s="7"/>
      <c r="W26" s="59"/>
      <c r="X26" s="7"/>
    </row>
    <row r="27" ht="15.75" customHeight="1">
      <c r="B27" s="17" t="s">
        <v>4</v>
      </c>
      <c r="C27" s="18" t="str">
        <f>IF(C26="", "", IFERROR(VLOOKUP(C26, 'Food Chart'!A:B, 2, FALSE), ""))</f>
        <v/>
      </c>
      <c r="F27" s="76"/>
      <c r="P27" s="82"/>
      <c r="T27" s="7"/>
      <c r="U27" s="7"/>
      <c r="V27" s="7"/>
      <c r="W27" s="70"/>
      <c r="X27" s="71"/>
    </row>
    <row r="28" ht="15.75" customHeight="1">
      <c r="B28" s="21" t="s">
        <v>6</v>
      </c>
      <c r="C28" s="22" t="str">
        <f>IF(C26="", "", IFERROR(VLOOKUP(C26, 'Food Chart'!A:C, 3, FALSE), ""))</f>
        <v/>
      </c>
      <c r="D28" s="65" t="str">
        <f>IF(C26="", "", IFERROR(VLOOKUP(C26, 'Food Chart'!A:D, 4, FALSE), ""))</f>
        <v/>
      </c>
      <c r="F28" s="76"/>
      <c r="P28" s="82"/>
      <c r="T28" s="7"/>
      <c r="U28" s="7"/>
      <c r="V28" s="7"/>
      <c r="W28" s="70"/>
      <c r="X28" s="71"/>
    </row>
    <row r="29" ht="15.75" customHeight="1">
      <c r="B29" s="21" t="s">
        <v>19</v>
      </c>
      <c r="C29" s="30"/>
      <c r="F29" s="76"/>
      <c r="P29" s="82"/>
      <c r="T29" s="7"/>
      <c r="U29" s="7"/>
      <c r="V29" s="7"/>
      <c r="W29" s="70"/>
      <c r="X29" s="71"/>
    </row>
    <row r="30" ht="15.75" customHeight="1">
      <c r="B30" s="38" t="s">
        <v>21</v>
      </c>
      <c r="C30" s="39"/>
      <c r="F30" s="76"/>
      <c r="P30" s="82"/>
      <c r="T30" s="7"/>
      <c r="U30" s="7"/>
      <c r="V30" s="7"/>
      <c r="W30" s="70"/>
      <c r="X30" s="71"/>
    </row>
    <row r="31" ht="15.75" customHeight="1">
      <c r="B31" s="7"/>
      <c r="C31" s="59"/>
      <c r="F31" s="76"/>
      <c r="P31" s="82"/>
      <c r="T31" s="7"/>
      <c r="U31" s="7"/>
      <c r="V31" s="7"/>
      <c r="W31" s="59"/>
      <c r="X31" s="7"/>
    </row>
    <row r="32" ht="15.75" customHeight="1">
      <c r="B32" s="8" t="s">
        <v>0</v>
      </c>
      <c r="C32" s="9"/>
      <c r="F32" s="76"/>
      <c r="P32" s="82"/>
      <c r="T32" s="7"/>
      <c r="U32" s="7"/>
      <c r="V32" s="7"/>
      <c r="W32" s="59"/>
      <c r="X32" s="7"/>
    </row>
    <row r="33" ht="15.75" customHeight="1">
      <c r="B33" s="17" t="s">
        <v>4</v>
      </c>
      <c r="C33" s="18" t="str">
        <f>IF(C32="", "", IFERROR(VLOOKUP(C32, 'Food Chart'!A:B, 2, FALSE), ""))</f>
        <v/>
      </c>
      <c r="F33" s="76"/>
      <c r="P33" s="82"/>
      <c r="T33" s="7"/>
      <c r="U33" s="7"/>
      <c r="V33" s="7"/>
      <c r="W33" s="59"/>
      <c r="X33" s="7"/>
    </row>
    <row r="34" ht="15.75" customHeight="1">
      <c r="B34" s="21" t="s">
        <v>6</v>
      </c>
      <c r="C34" s="22" t="str">
        <f>IF(C32="", "", IFERROR(VLOOKUP(C32, 'Food Chart'!A:C, 3, FALSE), ""))</f>
        <v/>
      </c>
      <c r="D34" s="65" t="str">
        <f>IF(C32="", "", IFERROR(VLOOKUP(C32, 'Food Chart'!A:D, 4, FALSE), ""))</f>
        <v/>
      </c>
      <c r="F34" s="76"/>
      <c r="P34" s="82"/>
      <c r="T34" s="7"/>
      <c r="U34" s="7"/>
      <c r="V34" s="7"/>
      <c r="W34" s="59"/>
      <c r="X34" s="7"/>
    </row>
    <row r="35" ht="15.75" customHeight="1">
      <c r="B35" s="21" t="s">
        <v>19</v>
      </c>
      <c r="C35" s="30"/>
      <c r="F35" s="76"/>
      <c r="P35" s="82"/>
      <c r="T35" s="7"/>
      <c r="U35" s="7"/>
      <c r="V35" s="7"/>
      <c r="W35" s="59"/>
      <c r="X35" s="7"/>
    </row>
    <row r="36" ht="15.75" customHeight="1">
      <c r="B36" s="38" t="s">
        <v>21</v>
      </c>
      <c r="C36" s="39"/>
      <c r="F36" s="76"/>
      <c r="P36" s="82"/>
      <c r="T36" s="7"/>
      <c r="U36" s="7"/>
      <c r="V36" s="7"/>
      <c r="W36" s="59"/>
      <c r="X36" s="7"/>
    </row>
    <row r="37" ht="15.75" customHeight="1">
      <c r="B37" s="7"/>
      <c r="C37" s="41"/>
      <c r="F37" s="76"/>
      <c r="P37" s="82"/>
      <c r="T37" s="7"/>
      <c r="U37" s="7"/>
      <c r="V37" s="7"/>
      <c r="W37" s="59"/>
      <c r="X37" s="7"/>
    </row>
    <row r="38" ht="15.75" customHeight="1">
      <c r="B38" s="8" t="s">
        <v>0</v>
      </c>
      <c r="C38" s="9"/>
      <c r="F38" s="76"/>
      <c r="P38" s="82"/>
      <c r="T38" s="7"/>
      <c r="U38" s="7"/>
      <c r="V38" s="7"/>
      <c r="W38" s="59"/>
      <c r="X38" s="7"/>
    </row>
    <row r="39" ht="15.75" customHeight="1">
      <c r="B39" s="17" t="s">
        <v>4</v>
      </c>
      <c r="C39" s="18" t="str">
        <f>IF(C38="", "", IFERROR(VLOOKUP(C38, 'Food Chart'!A:B, 2, FALSE), ""))</f>
        <v/>
      </c>
      <c r="F39" s="76"/>
      <c r="P39" s="82"/>
      <c r="T39" s="7"/>
      <c r="U39" s="7"/>
      <c r="V39" s="7"/>
      <c r="W39" s="59"/>
      <c r="X39" s="7"/>
    </row>
    <row r="40" ht="15.75" customHeight="1">
      <c r="B40" s="21" t="s">
        <v>6</v>
      </c>
      <c r="C40" s="22" t="str">
        <f>IF(C38="", "", IFERROR(VLOOKUP(C38, 'Food Chart'!A:C, 3, FALSE), ""))</f>
        <v/>
      </c>
      <c r="D40" s="65" t="str">
        <f>IF(C38="", "", IFERROR(VLOOKUP(C38, 'Food Chart'!A:D, 4, FALSE), ""))</f>
        <v/>
      </c>
      <c r="F40" s="76"/>
      <c r="P40" s="82"/>
      <c r="T40" s="7"/>
      <c r="U40" s="7"/>
      <c r="V40" s="7"/>
      <c r="W40" s="59"/>
      <c r="X40" s="7"/>
    </row>
    <row r="41" ht="15.75" customHeight="1">
      <c r="B41" s="21" t="s">
        <v>19</v>
      </c>
      <c r="C41" s="30"/>
      <c r="F41" s="76"/>
      <c r="P41" s="82"/>
      <c r="T41" s="7"/>
      <c r="U41" s="7"/>
      <c r="V41" s="7"/>
      <c r="W41" s="59"/>
      <c r="X41" s="7"/>
    </row>
    <row r="42" ht="15.75" customHeight="1">
      <c r="B42" s="38" t="s">
        <v>21</v>
      </c>
      <c r="C42" s="39"/>
      <c r="F42" s="76"/>
      <c r="P42" s="82"/>
      <c r="T42" s="7"/>
      <c r="U42" s="7"/>
      <c r="V42" s="7"/>
      <c r="W42" s="59"/>
      <c r="X42" s="7"/>
    </row>
    <row r="43" ht="15.75" customHeight="1">
      <c r="B43" s="7"/>
      <c r="C43" s="61"/>
      <c r="F43" s="76"/>
      <c r="P43" s="82"/>
      <c r="T43" s="7"/>
      <c r="U43" s="7"/>
      <c r="V43" s="7"/>
      <c r="W43" s="59"/>
      <c r="X43" s="7"/>
    </row>
    <row r="44" ht="15.75" customHeight="1">
      <c r="B44" s="8" t="s">
        <v>0</v>
      </c>
      <c r="C44" s="9"/>
      <c r="F44" s="76"/>
      <c r="P44" s="82"/>
      <c r="T44" s="7"/>
      <c r="U44" s="7"/>
      <c r="V44" s="7"/>
      <c r="W44" s="59"/>
      <c r="X44" s="7"/>
    </row>
    <row r="45" ht="15.75" customHeight="1">
      <c r="B45" s="17" t="s">
        <v>4</v>
      </c>
      <c r="C45" s="18" t="str">
        <f>IF(C44="", "", IFERROR(VLOOKUP(C44, 'Food Chart'!A:B, 2, FALSE), ""))</f>
        <v/>
      </c>
      <c r="F45" s="76"/>
      <c r="P45" s="82"/>
      <c r="T45" s="7"/>
      <c r="U45" s="7"/>
      <c r="V45" s="7"/>
      <c r="W45" s="59"/>
      <c r="X45" s="7"/>
    </row>
    <row r="46" ht="15.75" customHeight="1">
      <c r="B46" s="21" t="s">
        <v>6</v>
      </c>
      <c r="C46" s="22" t="str">
        <f>IF(C44="", "", IFERROR(VLOOKUP(C44, 'Food Chart'!A:C, 3, FALSE), ""))</f>
        <v/>
      </c>
      <c r="D46" s="65" t="str">
        <f>IF(C44="", "", IFERROR(VLOOKUP(C44, 'Food Chart'!A:D, 4, FALSE), ""))</f>
        <v/>
      </c>
      <c r="F46" s="76"/>
      <c r="P46" s="82"/>
      <c r="T46" s="7"/>
      <c r="U46" s="7"/>
      <c r="V46" s="7"/>
      <c r="W46" s="59"/>
      <c r="X46" s="7"/>
    </row>
    <row r="47" ht="15.75" customHeight="1">
      <c r="B47" s="21" t="s">
        <v>19</v>
      </c>
      <c r="C47" s="30"/>
      <c r="F47" s="76"/>
      <c r="P47" s="82"/>
      <c r="T47" s="7"/>
      <c r="U47" s="7"/>
      <c r="V47" s="7"/>
      <c r="W47" s="59"/>
      <c r="X47" s="7"/>
    </row>
    <row r="48" ht="15.75" customHeight="1">
      <c r="B48" s="38" t="s">
        <v>21</v>
      </c>
      <c r="C48" s="39"/>
      <c r="F48" s="76"/>
      <c r="P48" s="82"/>
      <c r="T48" s="7"/>
      <c r="U48" s="7"/>
      <c r="V48" s="7"/>
      <c r="W48" s="59"/>
      <c r="X48" s="7"/>
    </row>
    <row r="49" ht="15.75" customHeight="1">
      <c r="B49" s="7"/>
      <c r="C49" s="72"/>
      <c r="F49" s="76"/>
      <c r="P49" s="82"/>
      <c r="T49" s="7"/>
      <c r="U49" s="7"/>
      <c r="V49" s="7"/>
      <c r="W49" s="59"/>
      <c r="X49" s="7"/>
    </row>
    <row r="50" ht="15.75" customHeight="1">
      <c r="B50" s="8" t="s">
        <v>0</v>
      </c>
      <c r="C50" s="9"/>
      <c r="F50" s="76"/>
      <c r="P50" s="82"/>
      <c r="T50" s="7"/>
      <c r="U50" s="7"/>
      <c r="V50" s="7"/>
      <c r="W50" s="59"/>
      <c r="X50" s="7"/>
    </row>
    <row r="51" ht="15.75" customHeight="1">
      <c r="B51" s="17" t="s">
        <v>4</v>
      </c>
      <c r="C51" s="18" t="str">
        <f>IF(C50="", "", IFERROR(VLOOKUP(C50, 'Food Chart'!A:B, 2, FALSE), ""))</f>
        <v/>
      </c>
      <c r="F51" s="76"/>
      <c r="P51" s="82"/>
      <c r="T51" s="7"/>
      <c r="U51" s="7"/>
      <c r="V51" s="7"/>
      <c r="W51" s="59"/>
      <c r="X51" s="7"/>
    </row>
    <row r="52" ht="15.75" customHeight="1">
      <c r="B52" s="21" t="s">
        <v>6</v>
      </c>
      <c r="C52" s="22" t="str">
        <f>IF(C50="", "", IFERROR(VLOOKUP(C50, 'Food Chart'!A:C, 3, FALSE), ""))</f>
        <v/>
      </c>
      <c r="D52" s="65" t="str">
        <f>IF(C50="", "", IFERROR(VLOOKUP(C50, 'Food Chart'!A:D, 4, FALSE), ""))</f>
        <v/>
      </c>
      <c r="F52" s="76"/>
      <c r="P52" s="82"/>
      <c r="T52" s="7"/>
      <c r="U52" s="7"/>
      <c r="V52" s="7"/>
      <c r="W52" s="59"/>
      <c r="X52" s="7"/>
    </row>
    <row r="53" ht="15.75" customHeight="1">
      <c r="B53" s="21" t="s">
        <v>19</v>
      </c>
      <c r="C53" s="30"/>
      <c r="F53" s="76"/>
      <c r="P53" s="82"/>
      <c r="T53" s="7"/>
      <c r="U53" s="7"/>
      <c r="V53" s="7"/>
      <c r="W53" s="59"/>
      <c r="X53" s="7"/>
    </row>
    <row r="54" ht="15.75" customHeight="1">
      <c r="B54" s="38" t="s">
        <v>21</v>
      </c>
      <c r="C54" s="39"/>
      <c r="F54" s="76"/>
      <c r="P54" s="82"/>
      <c r="T54" s="7"/>
      <c r="U54" s="7"/>
      <c r="V54" s="7"/>
      <c r="W54" s="59"/>
      <c r="X54" s="7"/>
    </row>
    <row r="55" ht="15.75" customHeight="1">
      <c r="B55" s="7"/>
      <c r="C55" s="61"/>
      <c r="F55" s="76"/>
      <c r="P55" s="82"/>
      <c r="T55" s="7"/>
      <c r="U55" s="7"/>
      <c r="V55" s="7"/>
      <c r="W55" s="59"/>
      <c r="X55" s="7"/>
    </row>
    <row r="56" ht="15.75" customHeight="1">
      <c r="B56" s="8" t="s">
        <v>0</v>
      </c>
      <c r="C56" s="9"/>
      <c r="F56" s="76"/>
      <c r="P56" s="82"/>
      <c r="T56" s="7"/>
      <c r="U56" s="7"/>
      <c r="V56" s="7"/>
      <c r="W56" s="59"/>
      <c r="X56" s="7"/>
    </row>
    <row r="57" ht="15.75" customHeight="1">
      <c r="B57" s="17" t="s">
        <v>4</v>
      </c>
      <c r="C57" s="18" t="str">
        <f>IF(C56="", "", IFERROR(VLOOKUP(C56, 'Food Chart'!A:B, 2, FALSE), ""))</f>
        <v/>
      </c>
      <c r="F57" s="76"/>
      <c r="P57" s="82"/>
      <c r="T57" s="7"/>
      <c r="U57" s="7"/>
      <c r="V57" s="7"/>
      <c r="W57" s="59"/>
      <c r="X57" s="7"/>
    </row>
    <row r="58" ht="15.75" customHeight="1">
      <c r="B58" s="21" t="s">
        <v>6</v>
      </c>
      <c r="C58" s="22" t="str">
        <f>IF(C56="", "", IFERROR(VLOOKUP(C56, 'Food Chart'!A:C, 3, FALSE), ""))</f>
        <v/>
      </c>
      <c r="D58" s="65" t="str">
        <f>IF(C56="", "", IFERROR(VLOOKUP(C56, 'Food Chart'!A:D, 4, FALSE), ""))</f>
        <v/>
      </c>
      <c r="F58" s="76"/>
      <c r="P58" s="82"/>
      <c r="T58" s="7"/>
      <c r="U58" s="7"/>
      <c r="V58" s="7"/>
      <c r="W58" s="59"/>
      <c r="X58" s="7"/>
    </row>
    <row r="59" ht="15.75" customHeight="1">
      <c r="B59" s="21" t="s">
        <v>19</v>
      </c>
      <c r="C59" s="30"/>
      <c r="F59" s="76"/>
      <c r="P59" s="82"/>
      <c r="T59" s="7"/>
      <c r="U59" s="7"/>
      <c r="V59" s="7"/>
      <c r="W59" s="59"/>
      <c r="X59" s="7"/>
    </row>
    <row r="60" ht="15.75" customHeight="1">
      <c r="B60" s="38" t="s">
        <v>21</v>
      </c>
      <c r="C60" s="39"/>
      <c r="F60" s="76"/>
      <c r="P60" s="82"/>
      <c r="T60" s="7"/>
      <c r="U60" s="7"/>
      <c r="V60" s="7"/>
      <c r="W60" s="59"/>
      <c r="X60" s="7"/>
    </row>
    <row r="61" ht="15.75" customHeight="1">
      <c r="B61" s="7"/>
      <c r="C61" s="59"/>
      <c r="F61" s="76"/>
      <c r="P61" s="82"/>
      <c r="T61" s="7"/>
      <c r="U61" s="7"/>
      <c r="V61" s="7"/>
      <c r="W61" s="59"/>
      <c r="X61" s="7"/>
    </row>
    <row r="62" ht="15.75" customHeight="1">
      <c r="B62" s="8" t="s">
        <v>0</v>
      </c>
      <c r="C62" s="9"/>
      <c r="F62" s="76"/>
      <c r="P62" s="82"/>
      <c r="T62" s="7"/>
      <c r="U62" s="7"/>
      <c r="V62" s="7"/>
      <c r="W62" s="59"/>
      <c r="X62" s="7"/>
    </row>
    <row r="63" ht="15.75" customHeight="1">
      <c r="B63" s="17" t="s">
        <v>4</v>
      </c>
      <c r="C63" s="18" t="str">
        <f>IF(C62="", "", IFERROR(VLOOKUP(C62, 'Food Chart'!A:B, 2, FALSE), ""))</f>
        <v/>
      </c>
      <c r="F63" s="76"/>
      <c r="P63" s="82"/>
      <c r="T63" s="7"/>
      <c r="U63" s="7"/>
      <c r="V63" s="7"/>
      <c r="W63" s="59"/>
      <c r="X63" s="7"/>
    </row>
    <row r="64" ht="15.75" customHeight="1">
      <c r="B64" s="21" t="s">
        <v>6</v>
      </c>
      <c r="C64" s="22" t="str">
        <f>IF(C62="", "", IFERROR(VLOOKUP(C62, 'Food Chart'!A:C, 3, FALSE), ""))</f>
        <v/>
      </c>
      <c r="D64" s="65" t="str">
        <f>IF(C62="", "", IFERROR(VLOOKUP(C62, 'Food Chart'!A:D, 4, FALSE), ""))</f>
        <v/>
      </c>
      <c r="F64" s="76"/>
      <c r="P64" s="82"/>
      <c r="T64" s="7"/>
      <c r="U64" s="7"/>
      <c r="V64" s="7"/>
      <c r="W64" s="59"/>
      <c r="X64" s="7"/>
    </row>
    <row r="65" ht="15.75" customHeight="1">
      <c r="B65" s="21" t="s">
        <v>19</v>
      </c>
      <c r="C65" s="30"/>
      <c r="F65" s="76"/>
      <c r="P65" s="82"/>
      <c r="T65" s="7"/>
      <c r="U65" s="7"/>
      <c r="V65" s="7"/>
      <c r="W65" s="59"/>
      <c r="X65" s="7"/>
    </row>
    <row r="66" ht="15.75" customHeight="1">
      <c r="B66" s="38" t="s">
        <v>21</v>
      </c>
      <c r="C66" s="39"/>
      <c r="F66" s="76"/>
      <c r="P66" s="82"/>
      <c r="T66" s="7"/>
      <c r="U66" s="7"/>
      <c r="V66" s="7"/>
      <c r="W66" s="59"/>
      <c r="X66" s="7"/>
    </row>
    <row r="67" ht="15.75" customHeight="1">
      <c r="B67" s="7"/>
      <c r="C67" s="41"/>
      <c r="F67" s="76"/>
      <c r="P67" s="82"/>
      <c r="T67" s="7"/>
      <c r="U67" s="7"/>
      <c r="V67" s="7"/>
      <c r="W67" s="59"/>
      <c r="X67" s="7"/>
    </row>
    <row r="68" ht="15.75" customHeight="1">
      <c r="B68" s="8" t="s">
        <v>0</v>
      </c>
      <c r="C68" s="9"/>
      <c r="F68" s="76"/>
      <c r="P68" s="82"/>
      <c r="T68" s="7"/>
      <c r="U68" s="7"/>
      <c r="V68" s="7"/>
      <c r="W68" s="59"/>
      <c r="X68" s="7"/>
    </row>
    <row r="69" ht="15.75" customHeight="1">
      <c r="B69" s="17" t="s">
        <v>4</v>
      </c>
      <c r="C69" s="18" t="str">
        <f>IF(C68="", "", IFERROR(VLOOKUP(C68, 'Food Chart'!A:B, 2, FALSE), ""))</f>
        <v/>
      </c>
      <c r="F69" s="76"/>
      <c r="P69" s="82"/>
      <c r="T69" s="7"/>
      <c r="U69" s="7"/>
      <c r="V69" s="7"/>
      <c r="W69" s="59"/>
      <c r="X69" s="7"/>
    </row>
    <row r="70" ht="15.75" customHeight="1">
      <c r="B70" s="21" t="s">
        <v>6</v>
      </c>
      <c r="C70" s="22" t="str">
        <f>IF(C68="", "", IFERROR(VLOOKUP(C68, 'Food Chart'!A:C, 3, FALSE), ""))</f>
        <v/>
      </c>
      <c r="D70" s="65" t="str">
        <f>IF(C68="", "", IFERROR(VLOOKUP(C68, 'Food Chart'!A:D, 4, FALSE), ""))</f>
        <v/>
      </c>
      <c r="F70" s="76"/>
      <c r="P70" s="82"/>
      <c r="T70" s="7"/>
      <c r="U70" s="7"/>
      <c r="V70" s="7"/>
      <c r="W70" s="59"/>
      <c r="X70" s="7"/>
    </row>
    <row r="71" ht="15.75" customHeight="1">
      <c r="B71" s="21" t="s">
        <v>19</v>
      </c>
      <c r="C71" s="30"/>
      <c r="F71" s="76"/>
      <c r="P71" s="82"/>
      <c r="T71" s="7"/>
      <c r="U71" s="7"/>
      <c r="V71" s="7"/>
      <c r="W71" s="59"/>
      <c r="X71" s="7"/>
    </row>
    <row r="72" ht="15.75" customHeight="1">
      <c r="B72" s="38" t="s">
        <v>21</v>
      </c>
      <c r="C72" s="39"/>
      <c r="F72" s="76"/>
      <c r="P72" s="82"/>
      <c r="T72" s="7"/>
      <c r="U72" s="7"/>
      <c r="V72" s="7"/>
      <c r="W72" s="59"/>
      <c r="X72" s="7"/>
    </row>
    <row r="73" ht="15.75" customHeight="1">
      <c r="B73" s="7"/>
      <c r="C73" s="61"/>
      <c r="F73" s="76"/>
      <c r="P73" s="82"/>
      <c r="T73" s="7"/>
      <c r="U73" s="7"/>
      <c r="V73" s="7"/>
      <c r="W73" s="59"/>
      <c r="X73" s="7"/>
    </row>
    <row r="74" ht="15.75" customHeight="1">
      <c r="B74" s="8" t="s">
        <v>0</v>
      </c>
      <c r="C74" s="9"/>
      <c r="F74" s="76"/>
      <c r="P74" s="82"/>
      <c r="T74" s="7"/>
      <c r="U74" s="7"/>
      <c r="V74" s="7"/>
      <c r="W74" s="59"/>
      <c r="X74" s="7"/>
    </row>
    <row r="75" ht="15.75" customHeight="1">
      <c r="B75" s="17" t="s">
        <v>4</v>
      </c>
      <c r="C75" s="18" t="str">
        <f>IF(C74="", "", IFERROR(VLOOKUP(C74, 'Food Chart'!A:B, 2, FALSE), ""))</f>
        <v/>
      </c>
      <c r="F75" s="76"/>
      <c r="P75" s="82"/>
      <c r="T75" s="7"/>
      <c r="U75" s="7"/>
      <c r="V75" s="7"/>
      <c r="W75" s="59"/>
      <c r="X75" s="7"/>
    </row>
    <row r="76" ht="15.75" customHeight="1">
      <c r="B76" s="21" t="s">
        <v>6</v>
      </c>
      <c r="C76" s="22" t="str">
        <f>IF(C74="", "", IFERROR(VLOOKUP(C74, 'Food Chart'!A:C, 3, FALSE), ""))</f>
        <v/>
      </c>
      <c r="D76" s="65" t="str">
        <f>IF(C74="", "", IFERROR(VLOOKUP(C74, 'Food Chart'!A:D, 4, FALSE), ""))</f>
        <v/>
      </c>
      <c r="F76" s="76"/>
      <c r="P76" s="82"/>
      <c r="T76" s="7"/>
      <c r="U76" s="7"/>
      <c r="V76" s="7"/>
      <c r="W76" s="59"/>
      <c r="X76" s="7"/>
    </row>
    <row r="77" ht="15.75" customHeight="1">
      <c r="B77" s="21" t="s">
        <v>19</v>
      </c>
      <c r="C77" s="30"/>
      <c r="F77" s="76"/>
      <c r="P77" s="82"/>
      <c r="T77" s="7"/>
      <c r="U77" s="7"/>
      <c r="V77" s="7"/>
      <c r="W77" s="59"/>
      <c r="X77" s="7"/>
    </row>
    <row r="78" ht="15.75" customHeight="1">
      <c r="B78" s="38" t="s">
        <v>21</v>
      </c>
      <c r="C78" s="39"/>
      <c r="F78" s="76"/>
      <c r="P78" s="82"/>
      <c r="T78" s="7"/>
      <c r="U78" s="7"/>
      <c r="V78" s="7"/>
      <c r="W78" s="59"/>
      <c r="X78" s="7"/>
    </row>
    <row r="79" ht="15.75" customHeight="1">
      <c r="B79" s="7"/>
      <c r="C79" s="72"/>
      <c r="F79" s="76"/>
      <c r="P79" s="82"/>
      <c r="T79" s="7"/>
      <c r="U79" s="7"/>
      <c r="V79" s="7"/>
      <c r="W79" s="59"/>
      <c r="X79" s="7"/>
    </row>
    <row r="80" ht="15.75" customHeight="1">
      <c r="B80" s="8" t="s">
        <v>0</v>
      </c>
      <c r="C80" s="9"/>
      <c r="F80" s="76"/>
      <c r="P80" s="82"/>
      <c r="T80" s="7"/>
      <c r="U80" s="7"/>
      <c r="V80" s="7"/>
      <c r="W80" s="59"/>
      <c r="X80" s="7"/>
    </row>
    <row r="81">
      <c r="B81" s="17" t="s">
        <v>4</v>
      </c>
      <c r="C81" s="18" t="str">
        <f>IF(C80="", "", IFERROR(VLOOKUP(C80, 'Food Chart'!A:B, 2, FALSE), ""))</f>
        <v/>
      </c>
      <c r="F81" s="76"/>
      <c r="P81" s="82"/>
      <c r="T81" s="7"/>
      <c r="U81" s="7"/>
      <c r="V81" s="7"/>
      <c r="W81" s="59"/>
      <c r="X81" s="7"/>
    </row>
    <row r="82">
      <c r="B82" s="21" t="s">
        <v>6</v>
      </c>
      <c r="C82" s="22" t="str">
        <f>IF(C80="", "", IFERROR(VLOOKUP(C80, 'Food Chart'!A:C, 3, FALSE), ""))</f>
        <v/>
      </c>
      <c r="D82" s="65" t="str">
        <f>IF(C80="", "", IFERROR(VLOOKUP(C80, 'Food Chart'!A:D, 4, FALSE), ""))</f>
        <v/>
      </c>
      <c r="F82" s="76"/>
      <c r="P82" s="82"/>
      <c r="T82" s="7"/>
      <c r="U82" s="7"/>
      <c r="V82" s="7"/>
      <c r="W82" s="59"/>
      <c r="X82" s="7"/>
    </row>
    <row r="83">
      <c r="B83" s="21" t="s">
        <v>19</v>
      </c>
      <c r="C83" s="30"/>
      <c r="F83" s="76"/>
      <c r="P83" s="82"/>
      <c r="T83" s="7"/>
      <c r="U83" s="7"/>
      <c r="V83" s="7"/>
      <c r="W83" s="59"/>
      <c r="X83" s="7"/>
    </row>
    <row r="84">
      <c r="B84" s="38" t="s">
        <v>21</v>
      </c>
      <c r="C84" s="39"/>
      <c r="F84" s="76"/>
      <c r="P84" s="82"/>
      <c r="T84" s="7"/>
      <c r="U84" s="7"/>
      <c r="V84" s="7"/>
      <c r="W84" s="59"/>
      <c r="X84" s="7"/>
    </row>
    <row r="85">
      <c r="B85" s="7"/>
      <c r="C85" s="61"/>
      <c r="F85" s="76"/>
      <c r="P85" s="82"/>
      <c r="T85" s="7"/>
      <c r="U85" s="7"/>
      <c r="V85" s="7"/>
      <c r="W85" s="59"/>
      <c r="X85" s="7"/>
    </row>
    <row r="86">
      <c r="B86" s="8" t="s">
        <v>0</v>
      </c>
      <c r="C86" s="9"/>
      <c r="F86" s="76"/>
      <c r="P86" s="82"/>
      <c r="T86" s="7"/>
      <c r="U86" s="7"/>
      <c r="V86" s="7"/>
      <c r="W86" s="59"/>
      <c r="X86" s="7"/>
    </row>
    <row r="87">
      <c r="B87" s="17" t="s">
        <v>4</v>
      </c>
      <c r="C87" s="18" t="str">
        <f>IF(C86="", "", IFERROR(VLOOKUP(C86, 'Food Chart'!A:B, 2, FALSE), ""))</f>
        <v/>
      </c>
      <c r="F87" s="76"/>
      <c r="P87" s="82"/>
      <c r="T87" s="7"/>
      <c r="U87" s="7"/>
      <c r="V87" s="7"/>
      <c r="W87" s="59"/>
      <c r="X87" s="7"/>
    </row>
    <row r="88">
      <c r="B88" s="21" t="s">
        <v>6</v>
      </c>
      <c r="C88" s="22" t="str">
        <f>IF(C86="", "", IFERROR(VLOOKUP(C86, 'Food Chart'!A:C, 3, FALSE), ""))</f>
        <v/>
      </c>
      <c r="D88" s="65" t="str">
        <f>IF(C86="", "", IFERROR(VLOOKUP(C86, 'Food Chart'!A:D, 4, FALSE), ""))</f>
        <v/>
      </c>
      <c r="F88" s="76"/>
      <c r="P88" s="82"/>
      <c r="T88" s="7"/>
      <c r="U88" s="7"/>
      <c r="V88" s="7"/>
      <c r="W88" s="59"/>
      <c r="X88" s="7"/>
    </row>
    <row r="89">
      <c r="B89" s="21" t="s">
        <v>19</v>
      </c>
      <c r="C89" s="30"/>
      <c r="F89" s="76"/>
      <c r="P89" s="82"/>
      <c r="T89" s="7"/>
      <c r="U89" s="7"/>
      <c r="V89" s="7"/>
      <c r="W89" s="59"/>
      <c r="X89" s="7"/>
    </row>
    <row r="90">
      <c r="B90" s="38" t="s">
        <v>21</v>
      </c>
      <c r="C90" s="39"/>
      <c r="F90" s="76"/>
      <c r="P90" s="82"/>
      <c r="T90" s="7"/>
      <c r="U90" s="7"/>
      <c r="V90" s="7"/>
      <c r="W90" s="59"/>
      <c r="X90" s="7"/>
    </row>
    <row r="91">
      <c r="B91" s="7"/>
      <c r="C91" s="59"/>
      <c r="F91" s="76"/>
      <c r="P91" s="82"/>
      <c r="T91" s="7"/>
      <c r="U91" s="7"/>
      <c r="V91" s="7"/>
      <c r="W91" s="59"/>
      <c r="X91" s="7"/>
    </row>
  </sheetData>
  <mergeCells count="8">
    <mergeCell ref="I2:M2"/>
    <mergeCell ref="P2:W2"/>
    <mergeCell ref="E13:E14"/>
    <mergeCell ref="F13:F14"/>
    <mergeCell ref="E22:F22"/>
    <mergeCell ref="E23:F23"/>
    <mergeCell ref="E24:F24"/>
    <mergeCell ref="E25:F25"/>
  </mergeCells>
  <dataValidations>
    <dataValidation type="list" allowBlank="1" sqref="C2 C8 C14 C20 C26 C32 C38 C44 C50 C56 C62 C68 C74 C80 C86">
      <formula1>'Food Chart'!$A$2:$A$1000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9.25"/>
    <col customWidth="1" min="2" max="2" width="17.38"/>
    <col customWidth="1" min="3" max="3" width="23.25"/>
    <col customWidth="1" min="4" max="4" width="16.63"/>
  </cols>
  <sheetData>
    <row r="1" ht="15.75" customHeight="1">
      <c r="A1" s="88" t="s">
        <v>13</v>
      </c>
      <c r="B1" s="89" t="s">
        <v>14</v>
      </c>
      <c r="C1" s="88" t="s">
        <v>83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</row>
    <row r="2" ht="15.75" customHeight="1">
      <c r="A2" s="91" t="s">
        <v>84</v>
      </c>
      <c r="B2" s="92">
        <v>1.0</v>
      </c>
      <c r="C2" s="93">
        <v>2.0</v>
      </c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</row>
    <row r="3" ht="15.75" customHeight="1">
      <c r="A3" s="91" t="s">
        <v>85</v>
      </c>
      <c r="B3" s="92">
        <v>0.7</v>
      </c>
      <c r="C3" s="93">
        <v>3.0</v>
      </c>
      <c r="D3" s="94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</row>
    <row r="4" ht="15.75" customHeight="1">
      <c r="A4" s="91" t="s">
        <v>86</v>
      </c>
      <c r="B4" s="92">
        <v>0.13</v>
      </c>
      <c r="C4" s="93">
        <v>4.0</v>
      </c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</row>
    <row r="5" ht="15.75" customHeight="1">
      <c r="A5" s="95" t="s">
        <v>87</v>
      </c>
      <c r="B5" s="96">
        <v>0.27</v>
      </c>
      <c r="C5" s="93">
        <v>3.0</v>
      </c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</row>
    <row r="6" ht="15.75" customHeight="1">
      <c r="A6" s="91" t="s">
        <v>88</v>
      </c>
      <c r="B6" s="92">
        <v>0.29</v>
      </c>
      <c r="C6" s="93">
        <v>3.0</v>
      </c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</row>
    <row r="7" ht="15.75" customHeight="1">
      <c r="A7" s="97" t="s">
        <v>89</v>
      </c>
      <c r="B7" s="98">
        <v>0.13</v>
      </c>
      <c r="C7" s="93">
        <v>3.0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</row>
    <row r="8" ht="15.75" customHeight="1">
      <c r="A8" s="91" t="s">
        <v>90</v>
      </c>
      <c r="B8" s="92">
        <v>0.13</v>
      </c>
      <c r="C8" s="93">
        <v>3.0</v>
      </c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</row>
    <row r="9" ht="15.75" customHeight="1">
      <c r="A9" s="91" t="s">
        <v>91</v>
      </c>
      <c r="B9" s="92">
        <v>0.02</v>
      </c>
      <c r="C9" s="93">
        <v>3.0</v>
      </c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</row>
    <row r="10" ht="15.75" customHeight="1">
      <c r="A10" s="91" t="s">
        <v>92</v>
      </c>
      <c r="B10" s="92">
        <v>0.15</v>
      </c>
      <c r="C10" s="93">
        <v>3.0</v>
      </c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</row>
    <row r="11" ht="15.75" customHeight="1">
      <c r="A11" s="91" t="s">
        <v>93</v>
      </c>
      <c r="B11" s="92">
        <v>0.2</v>
      </c>
      <c r="C11" s="93">
        <v>3.0</v>
      </c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</row>
    <row r="12" ht="15.75" customHeight="1">
      <c r="A12" s="95" t="s">
        <v>94</v>
      </c>
      <c r="B12" s="98">
        <v>0.21</v>
      </c>
      <c r="C12" s="93">
        <v>3.0</v>
      </c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</row>
    <row r="13" ht="15.75" customHeight="1">
      <c r="A13" s="91" t="s">
        <v>95</v>
      </c>
      <c r="B13" s="92">
        <v>0.0</v>
      </c>
      <c r="C13" s="93">
        <v>3.5</v>
      </c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</row>
    <row r="14" ht="15.75" customHeight="1">
      <c r="A14" s="91" t="s">
        <v>96</v>
      </c>
      <c r="B14" s="92">
        <v>0.0</v>
      </c>
      <c r="C14" s="93">
        <v>3.0</v>
      </c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</row>
    <row r="15" ht="15.75" customHeight="1">
      <c r="A15" s="91" t="s">
        <v>97</v>
      </c>
      <c r="B15" s="92">
        <v>0.1</v>
      </c>
      <c r="C15" s="93">
        <v>3.0</v>
      </c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</row>
    <row r="16" ht="15.75" customHeight="1">
      <c r="A16" s="97" t="s">
        <v>98</v>
      </c>
      <c r="B16" s="98">
        <v>0.18</v>
      </c>
      <c r="C16" s="93">
        <v>3.0</v>
      </c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</row>
    <row r="17" ht="15.75" customHeight="1">
      <c r="A17" s="91" t="s">
        <v>99</v>
      </c>
      <c r="B17" s="92">
        <v>0.12</v>
      </c>
      <c r="C17" s="93">
        <v>3.0</v>
      </c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</row>
    <row r="18" ht="15.75" customHeight="1">
      <c r="A18" s="91" t="s">
        <v>100</v>
      </c>
      <c r="B18" s="92">
        <v>1.5</v>
      </c>
      <c r="C18" s="93">
        <v>3.0</v>
      </c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</row>
    <row r="19" ht="15.75" customHeight="1">
      <c r="A19" s="99" t="s">
        <v>101</v>
      </c>
      <c r="B19" s="100">
        <v>0.3</v>
      </c>
      <c r="C19" s="93">
        <v>3.0</v>
      </c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</row>
    <row r="20" ht="15.75" customHeight="1">
      <c r="A20" s="97" t="s">
        <v>102</v>
      </c>
      <c r="B20" s="96">
        <v>0.31</v>
      </c>
      <c r="C20" s="93">
        <v>3.0</v>
      </c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</row>
    <row r="21" ht="15.75" customHeight="1">
      <c r="A21" s="91" t="s">
        <v>103</v>
      </c>
      <c r="B21" s="92">
        <v>15.0</v>
      </c>
      <c r="C21" s="93">
        <v>3.0</v>
      </c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</row>
    <row r="22" ht="15.75" customHeight="1">
      <c r="A22" s="97" t="s">
        <v>104</v>
      </c>
      <c r="B22" s="96">
        <v>0.05</v>
      </c>
      <c r="C22" s="93">
        <v>3.0</v>
      </c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</row>
    <row r="23" ht="15.75" customHeight="1">
      <c r="A23" s="91" t="s">
        <v>105</v>
      </c>
      <c r="B23" s="92">
        <v>16.0</v>
      </c>
      <c r="C23" s="93">
        <v>3.0</v>
      </c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</row>
    <row r="24" ht="15.75" customHeight="1">
      <c r="A24" s="91" t="s">
        <v>106</v>
      </c>
      <c r="B24" s="92">
        <v>6.5</v>
      </c>
      <c r="C24" s="93">
        <v>3.0</v>
      </c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</row>
    <row r="25" ht="15.75" customHeight="1">
      <c r="A25" s="91" t="s">
        <v>107</v>
      </c>
      <c r="B25" s="92">
        <v>0.43</v>
      </c>
      <c r="C25" s="93">
        <v>3.0</v>
      </c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</row>
    <row r="26" ht="15.75" customHeight="1">
      <c r="A26" s="95" t="s">
        <v>108</v>
      </c>
      <c r="B26" s="98">
        <v>7.0</v>
      </c>
      <c r="C26" s="93">
        <v>3.0</v>
      </c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</row>
    <row r="27" ht="15.75" customHeight="1">
      <c r="A27" s="91" t="s">
        <v>109</v>
      </c>
      <c r="B27" s="92">
        <v>0.2</v>
      </c>
      <c r="C27" s="93">
        <v>3.0</v>
      </c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</row>
    <row r="28" ht="15.75" customHeight="1">
      <c r="A28" s="91" t="s">
        <v>110</v>
      </c>
      <c r="B28" s="92">
        <v>0.06</v>
      </c>
      <c r="C28" s="93">
        <v>3.0</v>
      </c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</row>
    <row r="29" ht="15.75" customHeight="1">
      <c r="A29" s="97" t="s">
        <v>111</v>
      </c>
      <c r="B29" s="96">
        <v>0.12</v>
      </c>
      <c r="C29" s="93">
        <v>3.0</v>
      </c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</row>
    <row r="30" ht="15.75" customHeight="1">
      <c r="A30" s="95" t="s">
        <v>112</v>
      </c>
      <c r="B30" s="98">
        <v>2.0</v>
      </c>
      <c r="C30" s="93">
        <v>3.0</v>
      </c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</row>
    <row r="31" ht="15.75" customHeight="1">
      <c r="A31" s="97" t="s">
        <v>113</v>
      </c>
      <c r="B31" s="96">
        <v>0.4</v>
      </c>
      <c r="C31" s="93">
        <v>3.0</v>
      </c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</row>
    <row r="32" ht="15.75" customHeight="1">
      <c r="A32" s="91" t="s">
        <v>114</v>
      </c>
      <c r="B32" s="92">
        <v>0.63</v>
      </c>
      <c r="C32" s="93">
        <v>3.0</v>
      </c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</row>
    <row r="33" ht="15.75" customHeight="1">
      <c r="A33" s="97" t="s">
        <v>115</v>
      </c>
      <c r="B33" s="98">
        <v>0.03</v>
      </c>
      <c r="C33" s="93">
        <v>3.0</v>
      </c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</row>
    <row r="34" ht="15.75" customHeight="1">
      <c r="A34" s="97" t="s">
        <v>116</v>
      </c>
      <c r="B34" s="96">
        <v>0.11</v>
      </c>
      <c r="C34" s="93">
        <v>3.0</v>
      </c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</row>
    <row r="35" ht="15.75" customHeight="1">
      <c r="A35" s="91" t="s">
        <v>117</v>
      </c>
      <c r="B35" s="92">
        <v>1.0</v>
      </c>
      <c r="C35" s="93">
        <v>3.0</v>
      </c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</row>
    <row r="36" ht="15.75" customHeight="1">
      <c r="A36" s="91" t="s">
        <v>118</v>
      </c>
      <c r="B36" s="92">
        <v>0.43</v>
      </c>
      <c r="C36" s="93">
        <v>3.0</v>
      </c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</row>
    <row r="37" ht="15.75" customHeight="1">
      <c r="A37" s="91" t="s">
        <v>119</v>
      </c>
      <c r="B37" s="92">
        <v>0.04</v>
      </c>
      <c r="C37" s="93">
        <v>3.0</v>
      </c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</row>
    <row r="38" ht="15.75" customHeight="1">
      <c r="A38" s="91" t="s">
        <v>120</v>
      </c>
      <c r="B38" s="92">
        <v>0.38</v>
      </c>
      <c r="C38" s="93">
        <v>0.5</v>
      </c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</row>
    <row r="39" ht="15.75" customHeight="1">
      <c r="A39" s="91" t="s">
        <v>121</v>
      </c>
      <c r="B39" s="92">
        <v>0.23</v>
      </c>
      <c r="C39" s="93">
        <v>3.0</v>
      </c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</row>
    <row r="40" ht="15.75" customHeight="1">
      <c r="A40" s="91" t="s">
        <v>122</v>
      </c>
      <c r="B40" s="92">
        <v>0.11</v>
      </c>
      <c r="C40" s="93">
        <v>3.0</v>
      </c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</row>
    <row r="41" ht="15.75" customHeight="1">
      <c r="A41" s="91" t="s">
        <v>123</v>
      </c>
      <c r="B41" s="92">
        <v>0.13</v>
      </c>
      <c r="C41" s="93">
        <v>3.0</v>
      </c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</row>
    <row r="42" ht="15.75" customHeight="1">
      <c r="A42" s="91" t="s">
        <v>124</v>
      </c>
      <c r="B42" s="92">
        <v>0.08</v>
      </c>
      <c r="C42" s="93">
        <v>3.0</v>
      </c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</row>
    <row r="43" ht="15.75" customHeight="1">
      <c r="A43" s="91" t="s">
        <v>125</v>
      </c>
      <c r="B43" s="92">
        <v>0.08</v>
      </c>
      <c r="C43" s="93">
        <v>3.0</v>
      </c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</row>
    <row r="44" ht="15.75" customHeight="1">
      <c r="A44" s="95" t="s">
        <v>126</v>
      </c>
      <c r="B44" s="98">
        <v>1.0</v>
      </c>
      <c r="C44" s="93">
        <v>3.0</v>
      </c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</row>
    <row r="45" ht="15.75" customHeight="1">
      <c r="A45" s="91" t="s">
        <v>127</v>
      </c>
      <c r="B45" s="92">
        <v>0.05</v>
      </c>
      <c r="C45" s="93">
        <v>3.0</v>
      </c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</row>
    <row r="46" ht="15.75" customHeight="1">
      <c r="A46" s="95" t="s">
        <v>128</v>
      </c>
      <c r="B46" s="96">
        <v>0.07</v>
      </c>
      <c r="C46" s="93">
        <v>3.0</v>
      </c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</row>
    <row r="47" ht="15.75" customHeight="1">
      <c r="A47" s="91" t="s">
        <v>129</v>
      </c>
      <c r="B47" s="92">
        <v>0.26</v>
      </c>
      <c r="C47" s="93">
        <v>3.0</v>
      </c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</row>
    <row r="48" ht="15.75" customHeight="1">
      <c r="A48" s="91" t="s">
        <v>130</v>
      </c>
      <c r="B48" s="92">
        <v>0.22</v>
      </c>
      <c r="C48" s="93">
        <v>3.0</v>
      </c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</row>
    <row r="49" ht="15.75" customHeight="1">
      <c r="A49" s="101" t="s">
        <v>131</v>
      </c>
      <c r="B49" s="102">
        <v>0.31</v>
      </c>
      <c r="C49" s="93">
        <v>4.0</v>
      </c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</row>
    <row r="50" ht="15.75" customHeight="1">
      <c r="A50" s="91" t="s">
        <v>132</v>
      </c>
      <c r="B50" s="92">
        <v>0.02</v>
      </c>
      <c r="C50" s="93">
        <v>3.0</v>
      </c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</row>
    <row r="51" ht="15.75" customHeight="1">
      <c r="A51" s="97" t="s">
        <v>133</v>
      </c>
      <c r="B51" s="96">
        <v>0.22</v>
      </c>
      <c r="C51" s="93">
        <v>4.0</v>
      </c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</row>
    <row r="52" ht="15.75" customHeight="1">
      <c r="A52" s="97" t="s">
        <v>134</v>
      </c>
      <c r="B52" s="96">
        <v>0.63</v>
      </c>
      <c r="C52" s="93">
        <v>3.0</v>
      </c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</row>
    <row r="53" ht="15.75" customHeight="1">
      <c r="A53" s="97" t="s">
        <v>135</v>
      </c>
      <c r="B53" s="96">
        <v>0.14</v>
      </c>
      <c r="C53" s="93">
        <v>3.0</v>
      </c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</row>
    <row r="54" ht="15.75" customHeight="1">
      <c r="A54" s="97" t="s">
        <v>136</v>
      </c>
      <c r="B54" s="96">
        <v>0.07</v>
      </c>
      <c r="C54" s="93">
        <v>3.0</v>
      </c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</row>
    <row r="55" ht="15.75" customHeight="1">
      <c r="A55" s="91" t="s">
        <v>137</v>
      </c>
      <c r="B55" s="92">
        <v>0.0</v>
      </c>
      <c r="C55" s="93">
        <v>3.0</v>
      </c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</row>
    <row r="56" ht="15.75" customHeight="1">
      <c r="A56" s="97" t="s">
        <v>138</v>
      </c>
      <c r="B56" s="96">
        <v>0.21</v>
      </c>
      <c r="C56" s="93">
        <v>3.0</v>
      </c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</row>
    <row r="57" ht="15.75" customHeight="1">
      <c r="A57" s="103" t="s">
        <v>139</v>
      </c>
      <c r="B57" s="104">
        <v>0.15</v>
      </c>
      <c r="C57" s="93">
        <v>3.5</v>
      </c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</row>
    <row r="58" ht="15.75" customHeight="1">
      <c r="A58" s="95" t="s">
        <v>140</v>
      </c>
      <c r="B58" s="96">
        <v>0.76</v>
      </c>
      <c r="C58" s="93">
        <v>1.5</v>
      </c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</row>
    <row r="59" ht="15.75" customHeight="1">
      <c r="A59" s="91" t="s">
        <v>141</v>
      </c>
      <c r="B59" s="92">
        <v>0.33</v>
      </c>
      <c r="C59" s="93">
        <v>3.0</v>
      </c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</row>
    <row r="60" ht="15.75" customHeight="1">
      <c r="A60" s="91" t="s">
        <v>142</v>
      </c>
      <c r="B60" s="92">
        <v>0.01</v>
      </c>
      <c r="C60" s="93">
        <v>3.0</v>
      </c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</row>
    <row r="61" ht="15.75" customHeight="1">
      <c r="A61" s="95" t="s">
        <v>143</v>
      </c>
      <c r="B61" s="98">
        <v>21.0</v>
      </c>
      <c r="C61" s="93">
        <v>3.0</v>
      </c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</row>
    <row r="62" ht="15.75" customHeight="1">
      <c r="A62" s="91" t="s">
        <v>144</v>
      </c>
      <c r="B62" s="92">
        <v>20.0</v>
      </c>
      <c r="C62" s="93">
        <v>3.0</v>
      </c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</row>
    <row r="63" ht="15.75" customHeight="1">
      <c r="A63" s="91" t="s">
        <v>145</v>
      </c>
      <c r="B63" s="92">
        <v>0.3</v>
      </c>
      <c r="C63" s="93">
        <v>3.5</v>
      </c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</row>
    <row r="64" ht="15.75" customHeight="1">
      <c r="A64" s="91" t="s">
        <v>146</v>
      </c>
      <c r="B64" s="92">
        <v>0.6</v>
      </c>
      <c r="C64" s="93">
        <v>3.5</v>
      </c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</row>
    <row r="65" ht="15.75" customHeight="1">
      <c r="A65" s="91" t="s">
        <v>147</v>
      </c>
      <c r="B65" s="92">
        <v>4.0</v>
      </c>
      <c r="C65" s="93">
        <v>3.0</v>
      </c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</row>
    <row r="66" ht="15.75" customHeight="1">
      <c r="A66" s="91" t="s">
        <v>148</v>
      </c>
      <c r="B66" s="92">
        <v>0.15</v>
      </c>
      <c r="C66" s="93">
        <v>3.0</v>
      </c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</row>
    <row r="67" ht="15.75" customHeight="1">
      <c r="A67" s="91" t="s">
        <v>149</v>
      </c>
      <c r="B67" s="92">
        <v>29.0</v>
      </c>
      <c r="C67" s="93">
        <v>3.0</v>
      </c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</row>
    <row r="68" ht="15.75" customHeight="1">
      <c r="A68" s="91" t="s">
        <v>150</v>
      </c>
      <c r="B68" s="92">
        <v>0.42</v>
      </c>
      <c r="C68" s="93">
        <v>3.0</v>
      </c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</row>
    <row r="69" ht="15.75" customHeight="1">
      <c r="A69" s="95" t="s">
        <v>151</v>
      </c>
      <c r="B69" s="98">
        <v>1.3</v>
      </c>
      <c r="C69" s="93">
        <v>3.0</v>
      </c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</row>
    <row r="70" ht="15.75" customHeight="1">
      <c r="A70" s="97" t="s">
        <v>152</v>
      </c>
      <c r="B70" s="98">
        <v>0.0</v>
      </c>
      <c r="C70" s="93">
        <v>3.0</v>
      </c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</row>
    <row r="71" ht="15.75" customHeight="1">
      <c r="A71" s="91" t="s">
        <v>153</v>
      </c>
      <c r="B71" s="92">
        <v>13.3</v>
      </c>
      <c r="C71" s="93">
        <v>3.0</v>
      </c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</row>
    <row r="72" ht="15.75" customHeight="1">
      <c r="A72" s="91" t="s">
        <v>154</v>
      </c>
      <c r="B72" s="92">
        <v>0.0</v>
      </c>
      <c r="C72" s="93">
        <v>3.0</v>
      </c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</row>
    <row r="73" ht="15.75" customHeight="1">
      <c r="A73" s="99" t="s">
        <v>155</v>
      </c>
      <c r="B73" s="100">
        <v>1.0</v>
      </c>
      <c r="C73" s="93">
        <v>3.0</v>
      </c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</row>
    <row r="74" ht="15.75" customHeight="1">
      <c r="A74" s="91" t="s">
        <v>156</v>
      </c>
      <c r="B74" s="92">
        <v>0.26</v>
      </c>
      <c r="C74" s="93">
        <v>3.0</v>
      </c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</row>
    <row r="75" ht="15.75" customHeight="1">
      <c r="A75" s="95" t="s">
        <v>157</v>
      </c>
      <c r="B75" s="98">
        <v>5.25</v>
      </c>
      <c r="C75" s="93">
        <v>3.0</v>
      </c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</row>
    <row r="76" ht="15.75" customHeight="1">
      <c r="A76" s="95" t="s">
        <v>158</v>
      </c>
      <c r="B76" s="98">
        <v>4.0</v>
      </c>
      <c r="C76" s="93">
        <v>3.0</v>
      </c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</row>
    <row r="77" ht="15.75" customHeight="1">
      <c r="A77" s="91" t="s">
        <v>159</v>
      </c>
      <c r="B77" s="92">
        <v>4.0</v>
      </c>
      <c r="C77" s="93">
        <v>3.0</v>
      </c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</row>
    <row r="78" ht="15.75" customHeight="1">
      <c r="A78" s="91" t="s">
        <v>160</v>
      </c>
      <c r="B78" s="92">
        <v>4.0</v>
      </c>
      <c r="C78" s="93">
        <v>3.0</v>
      </c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</row>
    <row r="79" ht="15.75" customHeight="1">
      <c r="A79" s="91" t="s">
        <v>161</v>
      </c>
      <c r="B79" s="92">
        <v>3.0</v>
      </c>
      <c r="C79" s="93">
        <v>3.0</v>
      </c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</row>
    <row r="80" ht="15.75" customHeight="1">
      <c r="A80" s="91" t="s">
        <v>162</v>
      </c>
      <c r="B80" s="92">
        <v>0.05</v>
      </c>
      <c r="C80" s="93">
        <v>3.0</v>
      </c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</row>
    <row r="81" ht="15.75" customHeight="1">
      <c r="A81" s="97" t="s">
        <v>163</v>
      </c>
      <c r="B81" s="98">
        <v>0.03</v>
      </c>
      <c r="C81" s="93">
        <v>3.0</v>
      </c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</row>
    <row r="82" ht="15.75" customHeight="1">
      <c r="A82" s="91" t="s">
        <v>164</v>
      </c>
      <c r="B82" s="92">
        <v>0.0</v>
      </c>
      <c r="C82" s="93">
        <v>3.0</v>
      </c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</row>
    <row r="83" ht="15.75" customHeight="1">
      <c r="A83" s="99" t="s">
        <v>165</v>
      </c>
      <c r="B83" s="100">
        <v>0.58</v>
      </c>
      <c r="C83" s="93">
        <v>3.0</v>
      </c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</row>
    <row r="84" ht="15.75" customHeight="1">
      <c r="A84" s="91" t="s">
        <v>166</v>
      </c>
      <c r="B84" s="92">
        <v>0.27</v>
      </c>
      <c r="C84" s="93">
        <v>3.0</v>
      </c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</row>
    <row r="85" ht="15.75" customHeight="1">
      <c r="A85" s="97" t="s">
        <v>167</v>
      </c>
      <c r="B85" s="96">
        <v>0.0</v>
      </c>
      <c r="C85" s="93">
        <v>3.0</v>
      </c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</row>
    <row r="86" ht="15.75" customHeight="1">
      <c r="A86" s="91" t="s">
        <v>168</v>
      </c>
      <c r="B86" s="92">
        <v>0.06</v>
      </c>
      <c r="C86" s="93">
        <v>3.0</v>
      </c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</row>
    <row r="87" ht="15.75" customHeight="1">
      <c r="A87" s="91" t="s">
        <v>169</v>
      </c>
      <c r="B87" s="92">
        <v>15.0</v>
      </c>
      <c r="C87" s="93">
        <v>3.0</v>
      </c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</row>
    <row r="88" ht="15.75" customHeight="1">
      <c r="A88" s="97" t="s">
        <v>170</v>
      </c>
      <c r="B88" s="98">
        <v>0.0</v>
      </c>
      <c r="C88" s="93">
        <v>4.0</v>
      </c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</row>
    <row r="89" ht="15.75" customHeight="1">
      <c r="A89" s="91" t="s">
        <v>171</v>
      </c>
      <c r="B89" s="92">
        <v>13.5</v>
      </c>
      <c r="C89" s="93">
        <v>3.0</v>
      </c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</row>
    <row r="90" ht="15.75" customHeight="1">
      <c r="A90" s="91" t="s">
        <v>172</v>
      </c>
      <c r="B90" s="92">
        <v>0.0</v>
      </c>
      <c r="C90" s="93">
        <v>3.0</v>
      </c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</row>
    <row r="91" ht="15.75" customHeight="1">
      <c r="A91" s="91" t="s">
        <v>173</v>
      </c>
      <c r="B91" s="92">
        <v>0.43</v>
      </c>
      <c r="C91" s="93">
        <v>3.0</v>
      </c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</row>
    <row r="92" ht="15.75" customHeight="1">
      <c r="A92" s="91" t="s">
        <v>174</v>
      </c>
      <c r="B92" s="92">
        <v>0.05</v>
      </c>
      <c r="C92" s="93">
        <v>3.0</v>
      </c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</row>
    <row r="93" ht="15.75" customHeight="1">
      <c r="A93" s="91" t="s">
        <v>175</v>
      </c>
      <c r="B93" s="92">
        <v>0.02</v>
      </c>
      <c r="C93" s="93">
        <v>3.0</v>
      </c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</row>
    <row r="94" ht="15.75" customHeight="1">
      <c r="A94" s="95" t="s">
        <v>176</v>
      </c>
      <c r="B94" s="98">
        <v>0.0</v>
      </c>
      <c r="C94" s="93">
        <v>3.0</v>
      </c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</row>
    <row r="95" ht="15.75" customHeight="1">
      <c r="A95" s="91" t="s">
        <v>177</v>
      </c>
      <c r="B95" s="92">
        <v>0.81</v>
      </c>
      <c r="C95" s="93">
        <v>1.5</v>
      </c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</row>
    <row r="96" ht="15.75" customHeight="1">
      <c r="A96" s="97" t="s">
        <v>178</v>
      </c>
      <c r="B96" s="96">
        <v>0.09</v>
      </c>
      <c r="C96" s="93">
        <v>3.0</v>
      </c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</row>
    <row r="97" ht="15.75" customHeight="1">
      <c r="A97" s="97" t="s">
        <v>179</v>
      </c>
      <c r="B97" s="96">
        <v>0.14</v>
      </c>
      <c r="C97" s="93">
        <v>3.0</v>
      </c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</row>
    <row r="98" ht="15.75" customHeight="1">
      <c r="A98" s="97" t="s">
        <v>180</v>
      </c>
      <c r="B98" s="96">
        <v>0.07</v>
      </c>
      <c r="C98" s="93">
        <v>3.0</v>
      </c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</row>
    <row r="99" ht="15.75" customHeight="1">
      <c r="A99" s="97" t="s">
        <v>181</v>
      </c>
      <c r="B99" s="96">
        <v>0.13</v>
      </c>
      <c r="C99" s="93">
        <v>3.0</v>
      </c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</row>
    <row r="100" ht="15.75" customHeight="1">
      <c r="A100" s="91" t="s">
        <v>182</v>
      </c>
      <c r="B100" s="92">
        <v>12.0</v>
      </c>
      <c r="C100" s="93">
        <v>3.0</v>
      </c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</row>
    <row r="101" ht="15.75" customHeight="1">
      <c r="A101" s="91" t="s">
        <v>183</v>
      </c>
      <c r="B101" s="92">
        <v>12.0</v>
      </c>
      <c r="C101" s="93">
        <v>3.0</v>
      </c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</row>
    <row r="102" ht="15.75" customHeight="1">
      <c r="A102" s="91" t="s">
        <v>184</v>
      </c>
      <c r="B102" s="92">
        <v>12.0</v>
      </c>
      <c r="C102" s="93">
        <v>3.0</v>
      </c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</row>
    <row r="103" ht="15.75" customHeight="1">
      <c r="A103" s="99" t="s">
        <v>185</v>
      </c>
      <c r="B103" s="100">
        <v>11.0</v>
      </c>
      <c r="C103" s="93">
        <v>3.0</v>
      </c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</row>
    <row r="104" ht="15.75" customHeight="1">
      <c r="A104" s="95" t="s">
        <v>186</v>
      </c>
      <c r="B104" s="98">
        <v>5.0</v>
      </c>
      <c r="C104" s="93">
        <v>3.0</v>
      </c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</row>
    <row r="105" ht="15.75" customHeight="1">
      <c r="A105" s="91" t="s">
        <v>187</v>
      </c>
      <c r="B105" s="92">
        <v>2.0</v>
      </c>
      <c r="C105" s="93">
        <v>4.5</v>
      </c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</row>
    <row r="106" ht="15.75" customHeight="1">
      <c r="A106" s="91" t="s">
        <v>188</v>
      </c>
      <c r="B106" s="92">
        <v>0.05</v>
      </c>
      <c r="C106" s="93">
        <v>4.5</v>
      </c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</row>
    <row r="107" ht="15.75" customHeight="1">
      <c r="A107" s="97" t="s">
        <v>189</v>
      </c>
      <c r="B107" s="96">
        <v>0.14</v>
      </c>
      <c r="C107" s="93">
        <v>3.0</v>
      </c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</row>
    <row r="108" ht="15.75" customHeight="1">
      <c r="A108" s="91" t="s">
        <v>190</v>
      </c>
      <c r="B108" s="92">
        <v>8.0</v>
      </c>
      <c r="C108" s="93">
        <v>3.0</v>
      </c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</row>
    <row r="109" ht="15.75" customHeight="1">
      <c r="A109" s="91" t="s">
        <v>191</v>
      </c>
      <c r="B109" s="92">
        <v>13.0</v>
      </c>
      <c r="C109" s="93">
        <v>3.0</v>
      </c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</row>
    <row r="110" ht="15.75" customHeight="1">
      <c r="A110" s="91" t="s">
        <v>192</v>
      </c>
      <c r="B110" s="92">
        <v>5.0</v>
      </c>
      <c r="C110" s="93">
        <v>3.0</v>
      </c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</row>
    <row r="111" ht="15.75" customHeight="1">
      <c r="A111" s="91" t="s">
        <v>193</v>
      </c>
      <c r="B111" s="92">
        <v>12.0</v>
      </c>
      <c r="C111" s="93">
        <v>3.0</v>
      </c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</row>
    <row r="112" ht="15.75" customHeight="1">
      <c r="A112" s="91" t="s">
        <v>194</v>
      </c>
      <c r="B112" s="92">
        <v>25.0</v>
      </c>
      <c r="C112" s="93">
        <v>3.0</v>
      </c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</row>
    <row r="113" ht="15.75" customHeight="1">
      <c r="A113" s="91" t="s">
        <v>195</v>
      </c>
      <c r="B113" s="92">
        <v>7.0</v>
      </c>
      <c r="C113" s="93">
        <v>3.0</v>
      </c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</row>
    <row r="114" ht="15.75" customHeight="1">
      <c r="A114" s="91" t="s">
        <v>196</v>
      </c>
      <c r="B114" s="92">
        <v>0.42</v>
      </c>
      <c r="C114" s="93">
        <v>3.0</v>
      </c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</row>
    <row r="115" ht="15.75" customHeight="1">
      <c r="A115" s="91" t="s">
        <v>197</v>
      </c>
      <c r="B115" s="92">
        <v>11.0</v>
      </c>
      <c r="C115" s="93">
        <v>3.0</v>
      </c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</row>
    <row r="116" ht="15.75" customHeight="1">
      <c r="A116" s="91" t="s">
        <v>198</v>
      </c>
      <c r="B116" s="92">
        <v>0.6</v>
      </c>
      <c r="C116" s="93">
        <v>3.0</v>
      </c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</row>
    <row r="117" ht="15.75" customHeight="1">
      <c r="A117" s="97" t="s">
        <v>199</v>
      </c>
      <c r="B117" s="96">
        <v>0.11</v>
      </c>
      <c r="C117" s="93">
        <v>3.0</v>
      </c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</row>
    <row r="118" ht="15.75" customHeight="1">
      <c r="A118" s="99" t="s">
        <v>200</v>
      </c>
      <c r="B118" s="100">
        <v>0.18</v>
      </c>
      <c r="C118" s="93">
        <v>3.0</v>
      </c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</row>
    <row r="119" ht="15.75" customHeight="1">
      <c r="A119" s="91" t="s">
        <v>201</v>
      </c>
      <c r="B119" s="92">
        <v>0.7</v>
      </c>
      <c r="C119" s="93">
        <v>3.0</v>
      </c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</row>
    <row r="120" ht="15.75" customHeight="1">
      <c r="A120" s="97" t="s">
        <v>202</v>
      </c>
      <c r="B120" s="96">
        <v>0.17</v>
      </c>
      <c r="C120" s="93">
        <v>3.0</v>
      </c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</row>
    <row r="121" ht="15.75" customHeight="1">
      <c r="A121" s="91" t="s">
        <v>203</v>
      </c>
      <c r="B121" s="92">
        <v>0.03</v>
      </c>
      <c r="C121" s="93">
        <v>3.0</v>
      </c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</row>
    <row r="122" ht="15.75" customHeight="1">
      <c r="A122" s="99" t="s">
        <v>204</v>
      </c>
      <c r="B122" s="100">
        <v>0.0</v>
      </c>
      <c r="C122" s="93">
        <v>3.0</v>
      </c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</row>
    <row r="123" ht="15.75" customHeight="1">
      <c r="A123" s="97" t="s">
        <v>205</v>
      </c>
      <c r="B123" s="96">
        <v>0.08</v>
      </c>
      <c r="C123" s="93">
        <v>3.0</v>
      </c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</row>
    <row r="124" ht="15.75" customHeight="1">
      <c r="A124" s="91" t="s">
        <v>206</v>
      </c>
      <c r="B124" s="92">
        <v>0.08</v>
      </c>
      <c r="C124" s="93">
        <v>3.0</v>
      </c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</row>
    <row r="125" ht="15.75" customHeight="1">
      <c r="A125" s="91" t="s">
        <v>207</v>
      </c>
      <c r="B125" s="92">
        <v>0.07</v>
      </c>
      <c r="C125" s="93">
        <v>3.0</v>
      </c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</row>
    <row r="126" ht="15.75" customHeight="1">
      <c r="A126" s="103" t="s">
        <v>208</v>
      </c>
      <c r="B126" s="104">
        <v>0.66</v>
      </c>
      <c r="C126" s="93">
        <v>3.5</v>
      </c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</row>
    <row r="127" ht="15.75" customHeight="1">
      <c r="A127" s="101" t="s">
        <v>209</v>
      </c>
      <c r="B127" s="102">
        <v>0.06</v>
      </c>
      <c r="C127" s="93">
        <v>3.5</v>
      </c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</row>
    <row r="128" ht="15.75" customHeight="1">
      <c r="A128" s="91" t="s">
        <v>210</v>
      </c>
      <c r="B128" s="92">
        <v>50.0</v>
      </c>
      <c r="C128" s="93">
        <v>3.0</v>
      </c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</row>
    <row r="129" ht="15.75" customHeight="1">
      <c r="A129" s="91" t="s">
        <v>211</v>
      </c>
      <c r="B129" s="92">
        <v>0.56</v>
      </c>
      <c r="C129" s="93">
        <v>3.0</v>
      </c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</row>
    <row r="130" ht="15.75" customHeight="1">
      <c r="A130" s="95" t="s">
        <v>212</v>
      </c>
      <c r="B130" s="96">
        <v>0.33</v>
      </c>
      <c r="C130" s="93">
        <v>3.0</v>
      </c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</row>
    <row r="131" ht="15.75" customHeight="1">
      <c r="A131" s="97" t="s">
        <v>213</v>
      </c>
      <c r="B131" s="96">
        <v>0.0</v>
      </c>
      <c r="C131" s="93">
        <v>3.0</v>
      </c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</row>
    <row r="132" ht="15.75" customHeight="1">
      <c r="A132" s="97" t="s">
        <v>214</v>
      </c>
      <c r="B132" s="96">
        <v>0.07</v>
      </c>
      <c r="C132" s="93">
        <v>3.0</v>
      </c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</row>
    <row r="133" ht="15.75" customHeight="1">
      <c r="A133" s="97" t="s">
        <v>215</v>
      </c>
      <c r="B133" s="96">
        <v>0.03</v>
      </c>
      <c r="C133" s="93">
        <v>3.0</v>
      </c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</row>
    <row r="134" ht="15.75" customHeight="1">
      <c r="A134" s="97" t="s">
        <v>216</v>
      </c>
      <c r="B134" s="96">
        <v>0.13</v>
      </c>
      <c r="C134" s="93">
        <v>3.0</v>
      </c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</row>
    <row r="135" ht="15.75" customHeight="1">
      <c r="A135" s="99" t="s">
        <v>217</v>
      </c>
      <c r="B135" s="100">
        <v>0.8</v>
      </c>
      <c r="C135" s="93">
        <v>3.0</v>
      </c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</row>
    <row r="136" ht="15.75" customHeight="1">
      <c r="A136" s="91" t="s">
        <v>218</v>
      </c>
      <c r="B136" s="92">
        <v>0.08</v>
      </c>
      <c r="C136" s="93">
        <v>3.0</v>
      </c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</row>
    <row r="137" ht="15.75" customHeight="1">
      <c r="A137" s="91" t="s">
        <v>219</v>
      </c>
      <c r="B137" s="92">
        <v>5.0</v>
      </c>
      <c r="C137" s="93">
        <v>3.0</v>
      </c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</row>
    <row r="138" ht="15.75" customHeight="1">
      <c r="A138" s="91" t="s">
        <v>220</v>
      </c>
      <c r="B138" s="92">
        <v>0.09</v>
      </c>
      <c r="C138" s="93">
        <v>3.0</v>
      </c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</row>
    <row r="139" ht="15.75" customHeight="1">
      <c r="A139" s="91" t="s">
        <v>221</v>
      </c>
      <c r="B139" s="92">
        <v>4.0</v>
      </c>
      <c r="C139" s="93">
        <v>3.0</v>
      </c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</row>
    <row r="140" ht="15.75" customHeight="1">
      <c r="A140" s="99" t="s">
        <v>222</v>
      </c>
      <c r="B140" s="100">
        <v>0.02</v>
      </c>
      <c r="C140" s="93">
        <v>3.0</v>
      </c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</row>
    <row r="141" ht="15.75" customHeight="1">
      <c r="A141" s="97" t="s">
        <v>223</v>
      </c>
      <c r="B141" s="96">
        <v>0.19</v>
      </c>
      <c r="C141" s="93">
        <v>3.0</v>
      </c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</row>
    <row r="142" ht="15.75" customHeight="1">
      <c r="A142" s="91" t="s">
        <v>224</v>
      </c>
      <c r="B142" s="92">
        <v>5.0</v>
      </c>
      <c r="C142" s="93">
        <v>3.0</v>
      </c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</row>
    <row r="143" ht="15.75" customHeight="1">
      <c r="A143" s="91" t="s">
        <v>225</v>
      </c>
      <c r="B143" s="92">
        <v>7.0</v>
      </c>
      <c r="C143" s="93">
        <v>3.0</v>
      </c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</row>
    <row r="144" ht="15.75" customHeight="1">
      <c r="A144" s="91" t="s">
        <v>226</v>
      </c>
      <c r="B144" s="92">
        <v>0.04</v>
      </c>
      <c r="C144" s="93">
        <v>3.0</v>
      </c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</row>
    <row r="145" ht="15.75" customHeight="1">
      <c r="A145" s="99" t="s">
        <v>227</v>
      </c>
      <c r="B145" s="100">
        <v>0.0</v>
      </c>
      <c r="C145" s="93">
        <v>3.0</v>
      </c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</row>
    <row r="146" ht="15.75" customHeight="1">
      <c r="A146" s="91" t="s">
        <v>228</v>
      </c>
      <c r="B146" s="92">
        <v>0.96</v>
      </c>
      <c r="C146" s="93">
        <v>3.0</v>
      </c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</row>
    <row r="147" ht="15.75" customHeight="1">
      <c r="A147" s="91" t="s">
        <v>229</v>
      </c>
      <c r="B147" s="92">
        <v>11.0</v>
      </c>
      <c r="C147" s="93">
        <v>3.0</v>
      </c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</row>
    <row r="148" ht="15.75" customHeight="1">
      <c r="A148" s="95" t="s">
        <v>230</v>
      </c>
      <c r="B148" s="96">
        <v>0.02</v>
      </c>
      <c r="C148" s="93">
        <v>3.0</v>
      </c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</row>
    <row r="149" ht="15.75" customHeight="1">
      <c r="A149" s="91" t="s">
        <v>231</v>
      </c>
      <c r="B149" s="92">
        <v>10.0</v>
      </c>
      <c r="C149" s="93">
        <v>3.0</v>
      </c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</row>
    <row r="150" ht="15.75" customHeight="1">
      <c r="A150" s="91" t="s">
        <v>232</v>
      </c>
      <c r="B150" s="92">
        <v>0.14</v>
      </c>
      <c r="C150" s="93">
        <v>3.0</v>
      </c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</row>
    <row r="151" ht="15.75" customHeight="1">
      <c r="A151" s="97" t="s">
        <v>233</v>
      </c>
      <c r="B151" s="96">
        <v>0.13</v>
      </c>
      <c r="C151" s="93">
        <v>3.0</v>
      </c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</row>
    <row r="152" ht="15.75" customHeight="1">
      <c r="A152" s="91" t="s">
        <v>234</v>
      </c>
      <c r="B152" s="92">
        <v>2.34</v>
      </c>
      <c r="C152" s="93">
        <v>3.0</v>
      </c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</row>
    <row r="153" ht="15.75" customHeight="1">
      <c r="A153" s="91" t="s">
        <v>235</v>
      </c>
      <c r="B153" s="92">
        <v>16.5</v>
      </c>
      <c r="C153" s="93">
        <v>3.0</v>
      </c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</row>
    <row r="154" ht="15.75" customHeight="1">
      <c r="A154" s="91" t="s">
        <v>236</v>
      </c>
      <c r="B154" s="92">
        <v>0.0</v>
      </c>
      <c r="C154" s="93">
        <v>3.0</v>
      </c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</row>
    <row r="155" ht="15.75" customHeight="1">
      <c r="A155" s="99" t="s">
        <v>237</v>
      </c>
      <c r="B155" s="100">
        <v>14.0</v>
      </c>
      <c r="C155" s="93">
        <v>3.0</v>
      </c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</row>
    <row r="156" ht="15.75" customHeight="1">
      <c r="A156" s="97" t="s">
        <v>238</v>
      </c>
      <c r="B156" s="96">
        <v>0.0</v>
      </c>
      <c r="C156" s="93">
        <v>3.0</v>
      </c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</row>
    <row r="157" ht="15.75" customHeight="1">
      <c r="A157" s="91" t="s">
        <v>239</v>
      </c>
      <c r="B157" s="92">
        <v>0.16</v>
      </c>
      <c r="C157" s="93">
        <v>3.0</v>
      </c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</row>
    <row r="158" ht="15.75" customHeight="1">
      <c r="A158" s="91" t="s">
        <v>240</v>
      </c>
      <c r="B158" s="92">
        <v>0.51</v>
      </c>
      <c r="C158" s="93">
        <v>3.0</v>
      </c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</row>
    <row r="159" ht="15.75" customHeight="1">
      <c r="A159" s="95" t="s">
        <v>241</v>
      </c>
      <c r="B159" s="98">
        <v>10.0</v>
      </c>
      <c r="C159" s="93">
        <v>3.0</v>
      </c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</row>
    <row r="160" ht="15.75" customHeight="1">
      <c r="A160" s="91" t="s">
        <v>242</v>
      </c>
      <c r="B160" s="92">
        <v>0.11</v>
      </c>
      <c r="C160" s="93">
        <v>3.0</v>
      </c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</row>
    <row r="161" ht="15.75" customHeight="1">
      <c r="A161" s="91" t="s">
        <v>243</v>
      </c>
      <c r="B161" s="92">
        <v>0.5</v>
      </c>
      <c r="C161" s="93">
        <v>3.0</v>
      </c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</row>
    <row r="162" ht="15.75" customHeight="1">
      <c r="A162" s="91" t="s">
        <v>244</v>
      </c>
      <c r="B162" s="92">
        <v>2.0</v>
      </c>
      <c r="C162" s="93">
        <v>3.0</v>
      </c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</row>
    <row r="163" ht="15.75" customHeight="1">
      <c r="A163" s="91" t="s">
        <v>245</v>
      </c>
      <c r="B163" s="92">
        <v>0.06</v>
      </c>
      <c r="C163" s="93">
        <v>3.0</v>
      </c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</row>
    <row r="164" ht="15.75" customHeight="1">
      <c r="A164" s="91" t="s">
        <v>246</v>
      </c>
      <c r="B164" s="92">
        <v>0.3</v>
      </c>
      <c r="C164" s="93">
        <v>3.0</v>
      </c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</row>
    <row r="165" ht="15.75" customHeight="1">
      <c r="A165" s="91" t="s">
        <v>247</v>
      </c>
      <c r="B165" s="92">
        <v>0.54</v>
      </c>
      <c r="C165" s="93">
        <v>3.0</v>
      </c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</row>
    <row r="166" ht="15.75" customHeight="1">
      <c r="A166" s="91" t="s">
        <v>248</v>
      </c>
      <c r="B166" s="92">
        <v>4.75</v>
      </c>
      <c r="C166" s="93">
        <v>3.0</v>
      </c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</row>
    <row r="167" ht="15.75" customHeight="1">
      <c r="A167" s="91" t="s">
        <v>249</v>
      </c>
      <c r="B167" s="92">
        <v>4.75</v>
      </c>
      <c r="C167" s="93">
        <v>3.0</v>
      </c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</row>
    <row r="168" ht="15.75" customHeight="1">
      <c r="A168" s="91" t="s">
        <v>250</v>
      </c>
      <c r="B168" s="92">
        <v>0.0</v>
      </c>
      <c r="C168" s="93">
        <v>3.0</v>
      </c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</row>
    <row r="169" ht="15.75" customHeight="1">
      <c r="A169" s="91" t="s">
        <v>251</v>
      </c>
      <c r="B169" s="92">
        <v>0.2</v>
      </c>
      <c r="C169" s="93">
        <v>3.0</v>
      </c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</row>
    <row r="170" ht="15.75" customHeight="1">
      <c r="A170" s="103" t="s">
        <v>252</v>
      </c>
      <c r="B170" s="104">
        <v>3.5</v>
      </c>
      <c r="C170" s="93">
        <v>3.5</v>
      </c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</row>
    <row r="171" ht="15.75" customHeight="1">
      <c r="A171" s="91" t="s">
        <v>253</v>
      </c>
      <c r="B171" s="92">
        <v>0.18</v>
      </c>
      <c r="C171" s="93">
        <v>3.5</v>
      </c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</row>
    <row r="172" ht="15.75" customHeight="1">
      <c r="A172" s="91" t="s">
        <v>254</v>
      </c>
      <c r="B172" s="92">
        <v>0.21</v>
      </c>
      <c r="C172" s="93">
        <v>3.0</v>
      </c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</row>
    <row r="173" ht="15.75" customHeight="1">
      <c r="A173" s="91" t="s">
        <v>255</v>
      </c>
      <c r="B173" s="92">
        <v>27.0</v>
      </c>
      <c r="C173" s="93">
        <v>3.0</v>
      </c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</row>
    <row r="174" ht="15.75" customHeight="1">
      <c r="A174" s="103" t="s">
        <v>256</v>
      </c>
      <c r="B174" s="104">
        <v>2.0</v>
      </c>
      <c r="C174" s="93">
        <v>3.0</v>
      </c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</row>
    <row r="175" ht="15.75" customHeight="1">
      <c r="A175" s="91" t="s">
        <v>257</v>
      </c>
      <c r="B175" s="92">
        <v>0.16</v>
      </c>
      <c r="C175" s="93">
        <v>3.0</v>
      </c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</row>
    <row r="176" ht="15.75" customHeight="1">
      <c r="A176" s="91" t="s">
        <v>258</v>
      </c>
      <c r="B176" s="92">
        <v>0.75</v>
      </c>
      <c r="C176" s="93">
        <v>3.0</v>
      </c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</row>
    <row r="177" ht="15.75" customHeight="1">
      <c r="A177" s="91" t="s">
        <v>259</v>
      </c>
      <c r="B177" s="92">
        <v>3.0</v>
      </c>
      <c r="C177" s="93">
        <v>3.0</v>
      </c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</row>
    <row r="178" ht="15.75" customHeight="1">
      <c r="A178" s="91" t="s">
        <v>260</v>
      </c>
      <c r="B178" s="92">
        <v>0.0</v>
      </c>
      <c r="C178" s="93">
        <v>3.0</v>
      </c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</row>
    <row r="179" ht="15.75" customHeight="1">
      <c r="A179" s="97" t="s">
        <v>261</v>
      </c>
      <c r="B179" s="96">
        <v>0.21</v>
      </c>
      <c r="C179" s="93">
        <v>3.0</v>
      </c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</row>
    <row r="180" ht="15.75" customHeight="1">
      <c r="A180" s="95" t="s">
        <v>262</v>
      </c>
      <c r="B180" s="98">
        <v>4.5</v>
      </c>
      <c r="C180" s="93">
        <v>3.0</v>
      </c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</row>
    <row r="181" ht="15.75" customHeight="1">
      <c r="A181" s="97" t="s">
        <v>263</v>
      </c>
      <c r="B181" s="96">
        <v>0.24</v>
      </c>
      <c r="C181" s="93">
        <v>3.0</v>
      </c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</row>
    <row r="182" ht="15.75" customHeight="1">
      <c r="A182" s="91" t="s">
        <v>264</v>
      </c>
      <c r="B182" s="92">
        <v>13.0</v>
      </c>
      <c r="C182" s="93">
        <v>3.0</v>
      </c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</row>
    <row r="183" ht="15.75" customHeight="1">
      <c r="A183" s="91" t="s">
        <v>265</v>
      </c>
      <c r="B183" s="92">
        <v>12.0</v>
      </c>
      <c r="C183" s="93">
        <v>3.0</v>
      </c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</row>
    <row r="184" ht="15.75" customHeight="1">
      <c r="A184" s="91" t="s">
        <v>266</v>
      </c>
      <c r="B184" s="92">
        <v>10.0</v>
      </c>
      <c r="C184" s="93">
        <v>3.0</v>
      </c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</row>
    <row r="185" ht="15.75" customHeight="1">
      <c r="A185" s="91" t="s">
        <v>267</v>
      </c>
      <c r="B185" s="92">
        <v>0.79</v>
      </c>
      <c r="C185" s="93">
        <v>3.0</v>
      </c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</row>
    <row r="186" ht="15.75" customHeight="1">
      <c r="A186" s="97" t="s">
        <v>268</v>
      </c>
      <c r="B186" s="96">
        <v>0.25</v>
      </c>
      <c r="C186" s="93">
        <v>3.0</v>
      </c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</row>
    <row r="187" ht="15.75" customHeight="1">
      <c r="A187" s="91" t="s">
        <v>269</v>
      </c>
      <c r="B187" s="92">
        <v>0.3</v>
      </c>
      <c r="C187" s="93">
        <v>3.0</v>
      </c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</row>
    <row r="188" ht="15.75" customHeight="1">
      <c r="A188" s="91" t="s">
        <v>270</v>
      </c>
      <c r="B188" s="92">
        <v>0.13</v>
      </c>
      <c r="C188" s="93">
        <v>3.0</v>
      </c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</row>
    <row r="189" ht="15.75" customHeight="1">
      <c r="A189" s="91" t="s">
        <v>271</v>
      </c>
      <c r="B189" s="92">
        <v>6.0</v>
      </c>
      <c r="C189" s="93">
        <v>3.0</v>
      </c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</row>
    <row r="190" ht="15.75" customHeight="1">
      <c r="A190" s="99" t="s">
        <v>272</v>
      </c>
      <c r="B190" s="100">
        <v>0.0</v>
      </c>
      <c r="C190" s="93">
        <v>3.0</v>
      </c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</row>
    <row r="191" ht="15.75" customHeight="1">
      <c r="A191" s="91" t="s">
        <v>273</v>
      </c>
      <c r="B191" s="92">
        <v>0.09</v>
      </c>
      <c r="C191" s="93">
        <v>3.0</v>
      </c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</row>
    <row r="192" ht="15.75" customHeight="1">
      <c r="A192" s="97" t="s">
        <v>274</v>
      </c>
      <c r="B192" s="96">
        <v>0.04</v>
      </c>
      <c r="C192" s="93">
        <v>3.0</v>
      </c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</row>
    <row r="193" ht="15.75" customHeight="1">
      <c r="A193" s="91" t="s">
        <v>275</v>
      </c>
      <c r="B193" s="92">
        <v>0.0</v>
      </c>
      <c r="C193" s="93">
        <v>3.0</v>
      </c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</row>
    <row r="194" ht="15.75" customHeight="1">
      <c r="A194" s="91" t="s">
        <v>276</v>
      </c>
      <c r="B194" s="92">
        <v>61.0</v>
      </c>
      <c r="C194" s="93">
        <v>3.0</v>
      </c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</row>
    <row r="195" ht="15.75" customHeight="1">
      <c r="A195" s="91" t="s">
        <v>277</v>
      </c>
      <c r="B195" s="92">
        <v>0.07</v>
      </c>
      <c r="C195" s="93">
        <v>3.0</v>
      </c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</row>
    <row r="196" ht="15.75" customHeight="1">
      <c r="A196" s="91" t="s">
        <v>278</v>
      </c>
      <c r="B196" s="92">
        <v>0.1</v>
      </c>
      <c r="C196" s="93">
        <v>3.0</v>
      </c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</row>
    <row r="197" ht="15.75" customHeight="1">
      <c r="A197" s="91" t="s">
        <v>279</v>
      </c>
      <c r="B197" s="92">
        <v>0.12</v>
      </c>
      <c r="C197" s="93">
        <v>3.0</v>
      </c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</row>
    <row r="198" ht="15.75" customHeight="1">
      <c r="A198" s="97" t="s">
        <v>280</v>
      </c>
      <c r="B198" s="98">
        <v>0.13</v>
      </c>
      <c r="C198" s="93">
        <v>3.0</v>
      </c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</row>
    <row r="199" ht="15.75" customHeight="1">
      <c r="A199" s="91" t="s">
        <v>281</v>
      </c>
      <c r="B199" s="92">
        <v>2.0</v>
      </c>
      <c r="C199" s="93">
        <v>3.0</v>
      </c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</row>
    <row r="200" ht="15.75" customHeight="1">
      <c r="A200" s="91" t="s">
        <v>282</v>
      </c>
      <c r="B200" s="92">
        <v>0.07</v>
      </c>
      <c r="C200" s="93">
        <v>3.0</v>
      </c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</row>
    <row r="201" ht="15.75" customHeight="1">
      <c r="A201" s="91" t="s">
        <v>283</v>
      </c>
      <c r="B201" s="92">
        <v>0.42</v>
      </c>
      <c r="C201" s="93">
        <v>4.5</v>
      </c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</row>
    <row r="202" ht="15.75" customHeight="1">
      <c r="A202" s="91" t="s">
        <v>284</v>
      </c>
      <c r="B202" s="92">
        <v>0.12</v>
      </c>
      <c r="C202" s="93">
        <v>3.0</v>
      </c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</row>
    <row r="203" ht="15.75" customHeight="1">
      <c r="A203" s="97" t="s">
        <v>285</v>
      </c>
      <c r="B203" s="96">
        <v>0.2</v>
      </c>
      <c r="C203" s="93">
        <v>3.0</v>
      </c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</row>
    <row r="204" ht="15.75" customHeight="1">
      <c r="A204" s="91" t="s">
        <v>286</v>
      </c>
      <c r="B204" s="92">
        <v>27.0</v>
      </c>
      <c r="C204" s="93">
        <v>3.0</v>
      </c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</row>
    <row r="205" ht="15.75" customHeight="1">
      <c r="A205" s="99" t="s">
        <v>287</v>
      </c>
      <c r="B205" s="100">
        <v>23.0</v>
      </c>
      <c r="C205" s="93">
        <v>3.0</v>
      </c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</row>
    <row r="206" ht="15.75" customHeight="1">
      <c r="A206" s="97" t="s">
        <v>288</v>
      </c>
      <c r="B206" s="96">
        <v>0.18</v>
      </c>
      <c r="C206" s="93">
        <v>3.0</v>
      </c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</row>
    <row r="207" ht="15.75" customHeight="1">
      <c r="A207" s="91" t="s">
        <v>289</v>
      </c>
      <c r="B207" s="92">
        <v>11.0</v>
      </c>
      <c r="C207" s="93">
        <v>3.0</v>
      </c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</row>
    <row r="208" ht="15.75" customHeight="1">
      <c r="A208" s="91" t="s">
        <v>290</v>
      </c>
      <c r="B208" s="92">
        <v>0.57</v>
      </c>
      <c r="C208" s="93">
        <v>3.0</v>
      </c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</row>
    <row r="209" ht="15.75" customHeight="1">
      <c r="A209" s="91" t="s">
        <v>291</v>
      </c>
      <c r="B209" s="92">
        <v>0.58</v>
      </c>
      <c r="C209" s="93">
        <v>3.0</v>
      </c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</row>
    <row r="210" ht="15.75" customHeight="1">
      <c r="A210" s="91" t="s">
        <v>292</v>
      </c>
      <c r="B210" s="92">
        <v>5.0</v>
      </c>
      <c r="C210" s="93">
        <v>3.0</v>
      </c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</row>
    <row r="211" ht="15.75" customHeight="1">
      <c r="A211" s="97" t="s">
        <v>293</v>
      </c>
      <c r="B211" s="96">
        <v>0.19</v>
      </c>
      <c r="C211" s="93">
        <v>3.0</v>
      </c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</row>
    <row r="212" ht="15.75" customHeight="1">
      <c r="A212" s="97" t="s">
        <v>294</v>
      </c>
      <c r="B212" s="96">
        <v>0.05</v>
      </c>
      <c r="C212" s="93">
        <v>3.0</v>
      </c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</row>
    <row r="213" ht="15.75" customHeight="1">
      <c r="A213" s="91" t="s">
        <v>295</v>
      </c>
      <c r="B213" s="92">
        <v>2.5</v>
      </c>
      <c r="C213" s="93">
        <v>3.0</v>
      </c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</row>
    <row r="214" ht="15.75" customHeight="1">
      <c r="A214" s="101" t="s">
        <v>296</v>
      </c>
      <c r="B214" s="102">
        <v>0.26</v>
      </c>
      <c r="C214" s="93">
        <v>3.0</v>
      </c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</row>
    <row r="215" ht="15.75" customHeight="1">
      <c r="A215" s="91" t="s">
        <v>297</v>
      </c>
      <c r="B215" s="92">
        <v>0.14</v>
      </c>
      <c r="C215" s="93">
        <v>3.0</v>
      </c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</row>
    <row r="216" ht="15.75" customHeight="1">
      <c r="A216" s="97" t="s">
        <v>298</v>
      </c>
      <c r="B216" s="96">
        <v>0.11</v>
      </c>
      <c r="C216" s="93">
        <v>3.0</v>
      </c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</row>
    <row r="217" ht="15.75" customHeight="1">
      <c r="A217" s="91" t="s">
        <v>299</v>
      </c>
      <c r="B217" s="92">
        <v>0.04</v>
      </c>
      <c r="C217" s="93">
        <v>2.5</v>
      </c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</row>
    <row r="218" ht="15.75" customHeight="1">
      <c r="A218" s="97" t="s">
        <v>300</v>
      </c>
      <c r="B218" s="96">
        <v>0.14</v>
      </c>
      <c r="C218" s="93">
        <v>3.0</v>
      </c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</row>
    <row r="219" ht="15.75" customHeight="1">
      <c r="A219" s="91" t="s">
        <v>301</v>
      </c>
      <c r="B219" s="92">
        <v>0.01</v>
      </c>
      <c r="C219" s="93">
        <v>3.0</v>
      </c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</row>
    <row r="220" ht="15.75" customHeight="1">
      <c r="A220" s="91" t="s">
        <v>302</v>
      </c>
      <c r="B220" s="92">
        <v>21.0</v>
      </c>
      <c r="C220" s="93">
        <v>3.0</v>
      </c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</row>
    <row r="221" ht="15.75" customHeight="1">
      <c r="A221" s="95" t="s">
        <v>303</v>
      </c>
      <c r="B221" s="98">
        <v>19.0</v>
      </c>
      <c r="C221" s="93">
        <v>3.0</v>
      </c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</row>
    <row r="222" ht="15.75" customHeight="1">
      <c r="A222" s="95" t="s">
        <v>304</v>
      </c>
      <c r="B222" s="98">
        <v>25.0</v>
      </c>
      <c r="C222" s="93">
        <v>3.0</v>
      </c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</row>
    <row r="223" ht="15.75" customHeight="1">
      <c r="A223" s="101" t="s">
        <v>305</v>
      </c>
      <c r="B223" s="102">
        <v>0.0</v>
      </c>
      <c r="C223" s="93">
        <v>3.5</v>
      </c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</row>
    <row r="224" ht="15.75" customHeight="1">
      <c r="A224" s="91" t="s">
        <v>306</v>
      </c>
      <c r="B224" s="92">
        <v>0.04</v>
      </c>
      <c r="C224" s="93">
        <v>3.0</v>
      </c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</row>
    <row r="225" ht="15.75" customHeight="1">
      <c r="A225" s="95" t="s">
        <v>307</v>
      </c>
      <c r="B225" s="98">
        <v>1.72</v>
      </c>
      <c r="C225" s="93">
        <v>3.0</v>
      </c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</row>
    <row r="226" ht="15.75" customHeight="1">
      <c r="A226" s="95" t="s">
        <v>308</v>
      </c>
      <c r="B226" s="98">
        <v>10.0</v>
      </c>
      <c r="C226" s="93">
        <v>3.0</v>
      </c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</row>
    <row r="227" ht="15.75" customHeight="1">
      <c r="A227" s="91" t="s">
        <v>309</v>
      </c>
      <c r="B227" s="92">
        <v>0.1</v>
      </c>
      <c r="C227" s="93">
        <v>3.0</v>
      </c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</row>
    <row r="228" ht="15.75" customHeight="1">
      <c r="A228" s="91" t="s">
        <v>310</v>
      </c>
      <c r="B228" s="92">
        <v>3.33</v>
      </c>
      <c r="C228" s="93">
        <v>3.0</v>
      </c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</row>
    <row r="229" ht="15.75" customHeight="1">
      <c r="A229" s="91" t="s">
        <v>311</v>
      </c>
      <c r="B229" s="92">
        <v>8.0</v>
      </c>
      <c r="C229" s="93">
        <v>3.0</v>
      </c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</row>
    <row r="230" ht="15.75" customHeight="1">
      <c r="A230" s="97" t="s">
        <v>312</v>
      </c>
      <c r="B230" s="96">
        <v>0.18</v>
      </c>
      <c r="C230" s="93">
        <v>3.0</v>
      </c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</row>
    <row r="231" ht="15.75" customHeight="1">
      <c r="A231" s="97" t="s">
        <v>313</v>
      </c>
      <c r="B231" s="96">
        <v>0.15</v>
      </c>
      <c r="C231" s="93">
        <v>3.0</v>
      </c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</row>
    <row r="232" ht="15.75" customHeight="1">
      <c r="A232" s="91" t="s">
        <v>314</v>
      </c>
      <c r="B232" s="92">
        <v>0.33</v>
      </c>
      <c r="C232" s="93">
        <v>1.0</v>
      </c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</row>
    <row r="233" ht="15.75" customHeight="1">
      <c r="A233" s="95" t="s">
        <v>315</v>
      </c>
      <c r="B233" s="96">
        <v>0.27</v>
      </c>
      <c r="C233" s="93">
        <v>3.0</v>
      </c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</row>
    <row r="234" ht="15.75" customHeight="1">
      <c r="A234" s="97" t="s">
        <v>316</v>
      </c>
      <c r="B234" s="98">
        <v>0.03</v>
      </c>
      <c r="C234" s="93">
        <v>3.0</v>
      </c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</row>
    <row r="235" ht="15.75" customHeight="1">
      <c r="A235" s="91" t="s">
        <v>317</v>
      </c>
      <c r="B235" s="92">
        <v>0.0</v>
      </c>
      <c r="C235" s="93">
        <v>3.0</v>
      </c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</row>
    <row r="236" ht="15.75" customHeight="1">
      <c r="A236" s="99" t="s">
        <v>318</v>
      </c>
      <c r="B236" s="100">
        <v>1.0</v>
      </c>
      <c r="C236" s="93">
        <v>3.0</v>
      </c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</row>
    <row r="237" ht="15.75" customHeight="1">
      <c r="A237" s="97" t="s">
        <v>319</v>
      </c>
      <c r="B237" s="96">
        <v>0.01</v>
      </c>
      <c r="C237" s="93">
        <v>3.0</v>
      </c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</row>
    <row r="238" ht="15.75" customHeight="1">
      <c r="A238" s="91" t="s">
        <v>320</v>
      </c>
      <c r="B238" s="92">
        <v>1.0</v>
      </c>
      <c r="C238" s="93">
        <v>1.0</v>
      </c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</row>
    <row r="239" ht="15.75" customHeight="1">
      <c r="A239" s="91" t="s">
        <v>321</v>
      </c>
      <c r="B239" s="92">
        <v>0.64</v>
      </c>
      <c r="C239" s="93">
        <v>3.0</v>
      </c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</row>
    <row r="240" ht="15.75" customHeight="1">
      <c r="A240" s="91" t="s">
        <v>322</v>
      </c>
      <c r="B240" s="92">
        <v>0.05</v>
      </c>
      <c r="C240" s="93">
        <v>3.0</v>
      </c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</row>
    <row r="241" ht="15.75" customHeight="1">
      <c r="A241" s="91" t="s">
        <v>323</v>
      </c>
      <c r="B241" s="92">
        <v>0.02</v>
      </c>
      <c r="C241" s="93">
        <v>2.5</v>
      </c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</row>
    <row r="242" ht="15.75" customHeight="1">
      <c r="A242" s="91" t="s">
        <v>324</v>
      </c>
      <c r="B242" s="92">
        <v>4.78</v>
      </c>
      <c r="C242" s="93">
        <v>3.0</v>
      </c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</row>
    <row r="243" ht="15.75" customHeight="1">
      <c r="A243" s="97" t="s">
        <v>325</v>
      </c>
      <c r="B243" s="96">
        <v>0.05</v>
      </c>
      <c r="C243" s="93">
        <v>3.0</v>
      </c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</row>
    <row r="244" ht="15.75" customHeight="1">
      <c r="A244" s="91" t="s">
        <v>326</v>
      </c>
      <c r="B244" s="92">
        <v>0.1</v>
      </c>
      <c r="C244" s="93">
        <v>3.0</v>
      </c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</row>
    <row r="245" ht="15.75" customHeight="1">
      <c r="A245" s="91" t="s">
        <v>327</v>
      </c>
      <c r="B245" s="92">
        <v>0.07</v>
      </c>
      <c r="C245" s="93">
        <v>3.0</v>
      </c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</row>
    <row r="246" ht="15.75" customHeight="1">
      <c r="A246" s="91" t="s">
        <v>328</v>
      </c>
      <c r="B246" s="92">
        <v>0.07</v>
      </c>
      <c r="C246" s="93">
        <v>3.0</v>
      </c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</row>
    <row r="247" ht="15.75" customHeight="1">
      <c r="A247" s="95" t="s">
        <v>329</v>
      </c>
      <c r="B247" s="98">
        <v>16.0</v>
      </c>
      <c r="C247" s="93">
        <v>3.0</v>
      </c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</row>
    <row r="248" ht="15.75" customHeight="1">
      <c r="A248" s="91" t="s">
        <v>330</v>
      </c>
      <c r="B248" s="92">
        <v>0.1</v>
      </c>
      <c r="C248" s="93">
        <v>3.0</v>
      </c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</row>
    <row r="249" ht="15.75" customHeight="1">
      <c r="A249" s="97" t="s">
        <v>331</v>
      </c>
      <c r="B249" s="96">
        <v>0.17</v>
      </c>
      <c r="C249" s="93">
        <v>3.0</v>
      </c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</row>
    <row r="250" ht="15.75" customHeight="1">
      <c r="A250" s="91" t="s">
        <v>332</v>
      </c>
      <c r="B250" s="92">
        <v>0.04</v>
      </c>
      <c r="C250" s="93">
        <v>3.0</v>
      </c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</row>
    <row r="251" ht="15.75" customHeight="1">
      <c r="A251" s="91" t="s">
        <v>333</v>
      </c>
      <c r="B251" s="92">
        <v>0.17</v>
      </c>
      <c r="C251" s="93">
        <v>3.0</v>
      </c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</row>
    <row r="252" ht="15.75" customHeight="1">
      <c r="A252" s="91" t="s">
        <v>334</v>
      </c>
      <c r="B252" s="92">
        <v>8.5</v>
      </c>
      <c r="C252" s="93">
        <v>3.0</v>
      </c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</row>
    <row r="253" ht="15.75" customHeight="1">
      <c r="A253" s="95" t="s">
        <v>335</v>
      </c>
      <c r="B253" s="98">
        <v>42.0</v>
      </c>
      <c r="C253" s="93">
        <v>3.0</v>
      </c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</row>
    <row r="254" ht="15.75" customHeight="1">
      <c r="A254" s="99" t="s">
        <v>336</v>
      </c>
      <c r="B254" s="100">
        <v>0.24</v>
      </c>
      <c r="C254" s="93">
        <v>3.0</v>
      </c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</row>
    <row r="255" ht="15.75" customHeight="1">
      <c r="A255" s="91" t="s">
        <v>337</v>
      </c>
      <c r="B255" s="92">
        <v>0.8</v>
      </c>
      <c r="C255" s="93">
        <v>3.0</v>
      </c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</row>
    <row r="256" ht="15.75" customHeight="1">
      <c r="A256" s="91" t="s">
        <v>338</v>
      </c>
      <c r="B256" s="92">
        <v>0.04</v>
      </c>
      <c r="C256" s="93">
        <v>3.0</v>
      </c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</row>
    <row r="257" ht="15.75" customHeight="1">
      <c r="A257" s="91" t="s">
        <v>339</v>
      </c>
      <c r="B257" s="92">
        <v>0.13</v>
      </c>
      <c r="C257" s="93">
        <v>3.0</v>
      </c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</row>
    <row r="258" ht="15.75" customHeight="1">
      <c r="A258" s="97" t="s">
        <v>340</v>
      </c>
      <c r="B258" s="98">
        <v>0.02</v>
      </c>
      <c r="C258" s="93">
        <v>3.0</v>
      </c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</row>
    <row r="259" ht="15.75" customHeight="1">
      <c r="A259" s="91" t="s">
        <v>341</v>
      </c>
      <c r="B259" s="92">
        <v>2.0</v>
      </c>
      <c r="C259" s="93">
        <v>3.0</v>
      </c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</row>
    <row r="260" ht="15.75" customHeight="1">
      <c r="A260" s="99" t="s">
        <v>342</v>
      </c>
      <c r="B260" s="100">
        <v>0.03</v>
      </c>
      <c r="C260" s="93">
        <v>3.0</v>
      </c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</row>
    <row r="261" ht="15.75" customHeight="1">
      <c r="A261" s="91" t="s">
        <v>343</v>
      </c>
      <c r="B261" s="92">
        <v>0.58</v>
      </c>
      <c r="C261" s="93">
        <v>3.0</v>
      </c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</row>
    <row r="262" ht="15.75" customHeight="1">
      <c r="A262" s="91" t="s">
        <v>344</v>
      </c>
      <c r="B262" s="92">
        <v>0.12</v>
      </c>
      <c r="C262" s="93">
        <v>3.0</v>
      </c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</row>
    <row r="263" ht="15.75" customHeight="1">
      <c r="A263" s="91" t="s">
        <v>345</v>
      </c>
      <c r="B263" s="92">
        <v>0.0</v>
      </c>
      <c r="C263" s="93">
        <v>3.0</v>
      </c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</row>
    <row r="264" ht="15.75" customHeight="1">
      <c r="A264" s="91" t="s">
        <v>346</v>
      </c>
      <c r="B264" s="92">
        <v>0.0</v>
      </c>
      <c r="C264" s="93">
        <v>3.0</v>
      </c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</row>
    <row r="265" ht="15.75" customHeight="1">
      <c r="A265" s="101" t="s">
        <v>347</v>
      </c>
      <c r="B265" s="102">
        <v>1.0</v>
      </c>
      <c r="C265" s="93">
        <v>3.0</v>
      </c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</row>
    <row r="266" ht="15.75" customHeight="1">
      <c r="A266" s="91" t="s">
        <v>348</v>
      </c>
      <c r="B266" s="92">
        <v>0.6</v>
      </c>
      <c r="C266" s="93">
        <v>3.0</v>
      </c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</row>
    <row r="267" ht="15.75" customHeight="1">
      <c r="A267" s="91" t="s">
        <v>349</v>
      </c>
      <c r="B267" s="92">
        <v>1.0</v>
      </c>
      <c r="C267" s="93">
        <v>3.0</v>
      </c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</row>
    <row r="268" ht="15.75" customHeight="1">
      <c r="A268" s="95" t="s">
        <v>350</v>
      </c>
      <c r="B268" s="96">
        <v>0.13</v>
      </c>
      <c r="C268" s="93">
        <v>3.0</v>
      </c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</row>
    <row r="269" ht="15.75" customHeight="1">
      <c r="A269" s="91" t="s">
        <v>351</v>
      </c>
      <c r="B269" s="92">
        <v>0.37</v>
      </c>
      <c r="C269" s="93">
        <v>3.0</v>
      </c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</row>
    <row r="270" ht="15.75" customHeight="1">
      <c r="A270" s="99" t="s">
        <v>352</v>
      </c>
      <c r="B270" s="100">
        <v>0.0</v>
      </c>
      <c r="C270" s="93">
        <v>3.0</v>
      </c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</row>
    <row r="271" ht="15.75" customHeight="1">
      <c r="A271" s="103" t="s">
        <v>353</v>
      </c>
      <c r="B271" s="104">
        <v>1.0</v>
      </c>
      <c r="C271" s="93">
        <v>3.5</v>
      </c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</row>
    <row r="272" ht="15.75" customHeight="1">
      <c r="A272" s="91" t="s">
        <v>354</v>
      </c>
      <c r="B272" s="92">
        <v>12.0</v>
      </c>
      <c r="C272" s="93">
        <v>3.0</v>
      </c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</row>
    <row r="273" ht="15.75" customHeight="1">
      <c r="A273" s="91" t="s">
        <v>355</v>
      </c>
      <c r="B273" s="92">
        <v>0.39</v>
      </c>
      <c r="C273" s="93">
        <v>3.0</v>
      </c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</row>
    <row r="274" ht="15.75" customHeight="1">
      <c r="A274" s="91" t="s">
        <v>356</v>
      </c>
      <c r="B274" s="92">
        <v>0.07</v>
      </c>
      <c r="C274" s="93">
        <v>3.0</v>
      </c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</row>
    <row r="275" ht="15.75" customHeight="1">
      <c r="A275" s="97"/>
      <c r="B275" s="96"/>
      <c r="C275" s="93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</row>
    <row r="276" ht="15.75" customHeight="1">
      <c r="A276" s="91" t="s">
        <v>357</v>
      </c>
      <c r="B276" s="92">
        <v>0.17</v>
      </c>
      <c r="C276" s="93">
        <v>3.0</v>
      </c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</row>
    <row r="277" ht="15.75" customHeight="1">
      <c r="A277" s="91" t="s">
        <v>358</v>
      </c>
      <c r="B277" s="92">
        <v>0.16</v>
      </c>
      <c r="C277" s="93">
        <v>3.0</v>
      </c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</row>
    <row r="278" ht="15.75" customHeight="1">
      <c r="A278" s="91" t="s">
        <v>359</v>
      </c>
      <c r="B278" s="92">
        <v>0.03</v>
      </c>
      <c r="C278" s="93">
        <v>3.0</v>
      </c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</row>
    <row r="279" ht="15.75" customHeight="1">
      <c r="A279" s="91" t="s">
        <v>360</v>
      </c>
      <c r="B279" s="92">
        <v>0.25</v>
      </c>
      <c r="C279" s="93">
        <v>3.0</v>
      </c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</row>
    <row r="280" ht="15.75" customHeight="1">
      <c r="A280" s="91" t="s">
        <v>361</v>
      </c>
      <c r="B280" s="92">
        <v>1.5</v>
      </c>
      <c r="C280" s="93">
        <v>3.0</v>
      </c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</row>
    <row r="281" ht="15.75" customHeight="1">
      <c r="A281" s="97" t="s">
        <v>362</v>
      </c>
      <c r="B281" s="96">
        <v>0.04</v>
      </c>
      <c r="C281" s="93">
        <v>3.0</v>
      </c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</row>
    <row r="282" ht="15.75" customHeight="1">
      <c r="A282" s="91" t="s">
        <v>363</v>
      </c>
      <c r="B282" s="92">
        <v>3.5</v>
      </c>
      <c r="C282" s="93">
        <v>3.0</v>
      </c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</row>
    <row r="283" ht="15.75" customHeight="1">
      <c r="A283" s="91" t="s">
        <v>364</v>
      </c>
      <c r="B283" s="92">
        <v>0.06</v>
      </c>
      <c r="C283" s="93">
        <v>3.0</v>
      </c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</row>
    <row r="284" ht="15.75" customHeight="1">
      <c r="A284" s="91" t="s">
        <v>365</v>
      </c>
      <c r="B284" s="92">
        <v>0.2</v>
      </c>
      <c r="C284" s="93">
        <v>3.0</v>
      </c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</row>
    <row r="285" ht="15.75" customHeight="1">
      <c r="A285" s="95" t="s">
        <v>366</v>
      </c>
      <c r="B285" s="98">
        <v>0.8</v>
      </c>
      <c r="C285" s="93">
        <v>3.0</v>
      </c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</row>
    <row r="286" ht="15.75" customHeight="1">
      <c r="A286" s="97" t="s">
        <v>367</v>
      </c>
      <c r="B286" s="96">
        <v>0.13</v>
      </c>
      <c r="C286" s="93">
        <v>3.0</v>
      </c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</row>
    <row r="287" ht="15.75" customHeight="1">
      <c r="A287" s="95" t="s">
        <v>368</v>
      </c>
      <c r="B287" s="98">
        <v>3.5</v>
      </c>
      <c r="C287" s="93">
        <v>3.0</v>
      </c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</row>
    <row r="288" ht="15.75" customHeight="1">
      <c r="A288" s="95" t="s">
        <v>369</v>
      </c>
      <c r="B288" s="98">
        <v>0.75</v>
      </c>
      <c r="C288" s="93">
        <v>3.0</v>
      </c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</row>
    <row r="289" ht="15.75" customHeight="1">
      <c r="A289" s="95" t="s">
        <v>370</v>
      </c>
      <c r="B289" s="98">
        <v>0.53</v>
      </c>
      <c r="C289" s="93">
        <v>3.0</v>
      </c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</row>
    <row r="290" ht="15.75" customHeight="1">
      <c r="A290" s="103" t="s">
        <v>371</v>
      </c>
      <c r="B290" s="104">
        <v>10.0</v>
      </c>
      <c r="C290" s="93">
        <v>3.0</v>
      </c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</row>
    <row r="291" ht="15.75" customHeight="1">
      <c r="A291" s="101" t="s">
        <v>372</v>
      </c>
      <c r="B291" s="102">
        <v>0.0</v>
      </c>
      <c r="C291" s="93">
        <v>3.0</v>
      </c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</row>
    <row r="292" ht="15.75" customHeight="1">
      <c r="A292" s="103" t="s">
        <v>373</v>
      </c>
      <c r="B292" s="104">
        <v>0.1</v>
      </c>
      <c r="C292" s="93">
        <v>4.0</v>
      </c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</row>
    <row r="293" ht="15.75" customHeight="1">
      <c r="A293" s="101" t="s">
        <v>374</v>
      </c>
      <c r="B293" s="102">
        <v>0.04</v>
      </c>
      <c r="C293" s="93">
        <v>4.0</v>
      </c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</row>
    <row r="294" ht="15.75" customHeight="1">
      <c r="A294" s="103" t="s">
        <v>375</v>
      </c>
      <c r="B294" s="104">
        <v>0.03</v>
      </c>
      <c r="C294" s="93">
        <v>3.5</v>
      </c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</row>
    <row r="295" ht="15.75" customHeight="1">
      <c r="A295" s="101" t="s">
        <v>376</v>
      </c>
      <c r="B295" s="102">
        <v>0.05</v>
      </c>
      <c r="C295" s="93">
        <v>1.0</v>
      </c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</row>
    <row r="296" ht="15.75" customHeight="1">
      <c r="A296" s="103" t="s">
        <v>377</v>
      </c>
      <c r="B296" s="104">
        <v>5.0</v>
      </c>
      <c r="C296" s="93">
        <v>1.0</v>
      </c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</row>
    <row r="297" ht="15.75" customHeight="1">
      <c r="A297" s="101" t="s">
        <v>378</v>
      </c>
      <c r="B297" s="102">
        <v>0.15</v>
      </c>
      <c r="C297" s="93">
        <v>1.0</v>
      </c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</row>
    <row r="298" ht="15.75" customHeight="1">
      <c r="A298" s="103" t="s">
        <v>379</v>
      </c>
      <c r="B298" s="104">
        <v>0.03</v>
      </c>
      <c r="C298" s="93">
        <v>3.5</v>
      </c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</row>
    <row r="299" ht="15.75" customHeight="1">
      <c r="A299" s="101" t="s">
        <v>380</v>
      </c>
      <c r="B299" s="102">
        <v>2.0</v>
      </c>
      <c r="C299" s="93">
        <v>4.5</v>
      </c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</row>
    <row r="300" ht="15.75" customHeight="1">
      <c r="A300" s="103" t="s">
        <v>381</v>
      </c>
      <c r="B300" s="104">
        <v>0.06</v>
      </c>
      <c r="C300" s="93">
        <v>3.5</v>
      </c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</row>
    <row r="301" ht="15.75" customHeight="1">
      <c r="A301" s="101" t="s">
        <v>382</v>
      </c>
      <c r="B301" s="102">
        <v>0.3</v>
      </c>
      <c r="C301" s="93">
        <v>3.5</v>
      </c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</row>
    <row r="302" ht="15.75" customHeight="1">
      <c r="A302" s="103" t="s">
        <v>383</v>
      </c>
      <c r="B302" s="104">
        <v>0.9</v>
      </c>
      <c r="C302" s="93">
        <v>3.5</v>
      </c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</row>
    <row r="303" ht="15.75" customHeight="1">
      <c r="A303" s="101" t="s">
        <v>384</v>
      </c>
      <c r="B303" s="102">
        <v>0.42</v>
      </c>
      <c r="C303" s="93">
        <v>5.0</v>
      </c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</row>
    <row r="304" ht="15.75" customHeight="1">
      <c r="A304" s="103" t="s">
        <v>385</v>
      </c>
      <c r="B304" s="104">
        <v>13.0</v>
      </c>
      <c r="C304" s="93">
        <v>1.5</v>
      </c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</row>
    <row r="305" ht="15.75" customHeight="1">
      <c r="A305" s="101" t="s">
        <v>386</v>
      </c>
      <c r="B305" s="102">
        <v>0.6</v>
      </c>
      <c r="C305" s="93">
        <v>3.5</v>
      </c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</row>
    <row r="306" ht="15.75" customHeight="1">
      <c r="A306" s="103" t="s">
        <v>387</v>
      </c>
      <c r="B306" s="104">
        <v>0.0</v>
      </c>
      <c r="C306" s="93">
        <v>3.0</v>
      </c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</row>
    <row r="307" ht="15.75" customHeight="1">
      <c r="A307" s="105"/>
      <c r="B307" s="106"/>
      <c r="C307" s="93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</row>
    <row r="308" ht="15.75" customHeight="1">
      <c r="A308" s="107"/>
      <c r="B308" s="108"/>
      <c r="C308" s="93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</row>
    <row r="309" ht="15.75" customHeight="1">
      <c r="A309" s="105"/>
      <c r="B309" s="106"/>
      <c r="C309" s="93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</row>
    <row r="310" ht="15.75" customHeight="1">
      <c r="A310" s="107"/>
      <c r="B310" s="108"/>
      <c r="C310" s="93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</row>
    <row r="311" ht="15.75" customHeight="1">
      <c r="A311" s="105"/>
      <c r="B311" s="106"/>
      <c r="C311" s="93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</row>
    <row r="312" ht="15.75" customHeight="1">
      <c r="A312" s="107"/>
      <c r="B312" s="108"/>
      <c r="C312" s="93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</row>
    <row r="313" ht="15.75" customHeight="1">
      <c r="A313" s="105"/>
      <c r="B313" s="106"/>
      <c r="C313" s="93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</row>
    <row r="314" ht="15.75" customHeight="1">
      <c r="A314" s="107"/>
      <c r="B314" s="108"/>
      <c r="C314" s="93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</row>
    <row r="315" ht="15.75" customHeight="1">
      <c r="A315" s="105"/>
      <c r="B315" s="106"/>
      <c r="C315" s="93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</row>
    <row r="316" ht="15.75" customHeight="1">
      <c r="A316" s="107"/>
      <c r="B316" s="108"/>
      <c r="C316" s="93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</row>
    <row r="317" ht="15.75" customHeight="1">
      <c r="A317" s="105"/>
      <c r="B317" s="106"/>
      <c r="C317" s="93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</row>
    <row r="318" ht="15.75" customHeight="1">
      <c r="A318" s="107"/>
      <c r="B318" s="108"/>
      <c r="C318" s="93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</row>
    <row r="319" ht="15.75" customHeight="1">
      <c r="A319" s="105"/>
      <c r="B319" s="106"/>
      <c r="C319" s="93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</row>
    <row r="320" ht="15.75" customHeight="1">
      <c r="A320" s="107"/>
      <c r="B320" s="108"/>
      <c r="C320" s="93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</row>
    <row r="321" ht="15.75" customHeight="1">
      <c r="A321" s="109"/>
      <c r="B321" s="110"/>
      <c r="C321" s="93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</row>
    <row r="322" ht="15.75" customHeight="1">
      <c r="A322" s="91"/>
      <c r="B322" s="92"/>
      <c r="C322" s="93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</row>
    <row r="323" ht="15.75" customHeight="1">
      <c r="A323" s="109"/>
      <c r="B323" s="110"/>
      <c r="C323" s="93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</row>
    <row r="324" ht="15.75" customHeight="1">
      <c r="A324" s="107"/>
      <c r="B324" s="108"/>
      <c r="C324" s="93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</row>
    <row r="325" ht="15.75" customHeight="1">
      <c r="A325" s="105"/>
      <c r="B325" s="106"/>
      <c r="C325" s="93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</row>
    <row r="326" ht="15.75" customHeight="1">
      <c r="A326" s="107"/>
      <c r="B326" s="108"/>
      <c r="C326" s="93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</row>
    <row r="327" ht="15.75" customHeight="1">
      <c r="A327" s="105"/>
      <c r="B327" s="106"/>
      <c r="C327" s="93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</row>
    <row r="328" ht="15.75" customHeight="1">
      <c r="A328" s="107"/>
      <c r="B328" s="108"/>
      <c r="C328" s="93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</row>
    <row r="329" ht="15.75" customHeight="1">
      <c r="A329" s="105"/>
      <c r="B329" s="106"/>
      <c r="C329" s="93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</row>
    <row r="330" ht="15.75" customHeight="1">
      <c r="A330" s="107"/>
      <c r="B330" s="108"/>
      <c r="C330" s="93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</row>
    <row r="331" ht="15.75" customHeight="1">
      <c r="A331" s="105"/>
      <c r="B331" s="106"/>
      <c r="C331" s="93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</row>
    <row r="332" ht="15.75" customHeight="1">
      <c r="A332" s="107"/>
      <c r="B332" s="108"/>
      <c r="C332" s="93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</row>
    <row r="333" ht="15.75" customHeight="1">
      <c r="A333" s="109"/>
      <c r="B333" s="110"/>
      <c r="C333" s="93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</row>
    <row r="334" ht="15.75" customHeight="1">
      <c r="A334" s="91"/>
      <c r="B334" s="92"/>
      <c r="C334" s="93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</row>
    <row r="335" ht="15.75" customHeight="1">
      <c r="A335" s="109"/>
      <c r="B335" s="110"/>
      <c r="C335" s="93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</row>
    <row r="336" ht="15.75" customHeight="1">
      <c r="A336" s="107"/>
      <c r="B336" s="108"/>
      <c r="C336" s="93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</row>
    <row r="337" ht="15.75" customHeight="1">
      <c r="A337" s="105"/>
      <c r="B337" s="106"/>
      <c r="C337" s="93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</row>
    <row r="338" ht="15.75" customHeight="1">
      <c r="A338" s="107"/>
      <c r="B338" s="108"/>
      <c r="C338" s="93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</row>
    <row r="339" ht="15.75" customHeight="1">
      <c r="A339" s="105"/>
      <c r="B339" s="106"/>
      <c r="C339" s="93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</row>
    <row r="340" ht="15.75" customHeight="1">
      <c r="A340" s="107"/>
      <c r="B340" s="108"/>
      <c r="C340" s="93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</row>
    <row r="341" ht="15.75" customHeight="1">
      <c r="A341" s="109"/>
      <c r="B341" s="110"/>
      <c r="C341" s="93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</row>
    <row r="342" ht="15.75" customHeight="1">
      <c r="A342" s="91"/>
      <c r="B342" s="92"/>
      <c r="C342" s="93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</row>
    <row r="343" ht="15.75" customHeight="1">
      <c r="A343" s="109"/>
      <c r="B343" s="110"/>
      <c r="C343" s="93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</row>
    <row r="344" ht="15.75" customHeight="1">
      <c r="A344" s="107"/>
      <c r="B344" s="108"/>
      <c r="C344" s="93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</row>
    <row r="345" ht="15.75" customHeight="1">
      <c r="A345" s="105"/>
      <c r="B345" s="106"/>
      <c r="C345" s="93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</row>
    <row r="346" ht="15.75" customHeight="1">
      <c r="A346" s="107"/>
      <c r="B346" s="108"/>
      <c r="C346" s="93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</row>
    <row r="347" ht="15.75" customHeight="1">
      <c r="A347" s="105"/>
      <c r="B347" s="106"/>
      <c r="C347" s="93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</row>
    <row r="348" ht="15.75" customHeight="1">
      <c r="A348" s="107"/>
      <c r="B348" s="108"/>
      <c r="C348" s="93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</row>
    <row r="349" ht="15.75" customHeight="1">
      <c r="A349" s="105"/>
      <c r="B349" s="106"/>
      <c r="C349" s="93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</row>
    <row r="350" ht="15.75" customHeight="1">
      <c r="A350" s="107"/>
      <c r="B350" s="108"/>
      <c r="C350" s="93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</row>
    <row r="351" ht="15.75" customHeight="1">
      <c r="A351" s="105"/>
      <c r="B351" s="106"/>
      <c r="C351" s="93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</row>
    <row r="352" ht="15.75" customHeight="1">
      <c r="A352" s="107"/>
      <c r="B352" s="108"/>
      <c r="C352" s="93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</row>
    <row r="353" ht="15.75" customHeight="1">
      <c r="A353" s="109"/>
      <c r="B353" s="110"/>
      <c r="C353" s="93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</row>
    <row r="354" ht="15.75" customHeight="1">
      <c r="A354" s="91"/>
      <c r="B354" s="92"/>
      <c r="C354" s="93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</row>
    <row r="355" ht="15.75" customHeight="1">
      <c r="A355" s="109"/>
      <c r="B355" s="110"/>
      <c r="C355" s="93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</row>
    <row r="356" ht="15.75" customHeight="1">
      <c r="A356" s="107"/>
      <c r="B356" s="108"/>
      <c r="C356" s="93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</row>
    <row r="357" ht="15.75" customHeight="1">
      <c r="A357" s="105"/>
      <c r="B357" s="106"/>
      <c r="C357" s="93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</row>
    <row r="358" ht="15.75" customHeight="1">
      <c r="A358" s="107"/>
      <c r="B358" s="108"/>
      <c r="C358" s="93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</row>
    <row r="359" ht="15.75" customHeight="1">
      <c r="A359" s="105"/>
      <c r="B359" s="106"/>
      <c r="C359" s="93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</row>
    <row r="360" ht="15.75" customHeight="1">
      <c r="A360" s="107"/>
      <c r="B360" s="108"/>
      <c r="C360" s="93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</row>
    <row r="361" ht="15.75" customHeight="1">
      <c r="A361" s="105"/>
      <c r="B361" s="106"/>
      <c r="C361" s="93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</row>
    <row r="362" ht="15.75" customHeight="1">
      <c r="A362" s="107"/>
      <c r="B362" s="108"/>
      <c r="C362" s="93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</row>
    <row r="363" ht="15.75" customHeight="1">
      <c r="A363" s="105"/>
      <c r="B363" s="106"/>
      <c r="C363" s="93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</row>
    <row r="364" ht="15.75" customHeight="1">
      <c r="A364" s="107"/>
      <c r="B364" s="108"/>
      <c r="C364" s="93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</row>
    <row r="365" ht="15.75" customHeight="1">
      <c r="A365" s="111"/>
      <c r="B365" s="112"/>
      <c r="C365" s="113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</row>
    <row r="366" ht="15.75" customHeight="1">
      <c r="A366" s="107"/>
      <c r="B366" s="108"/>
      <c r="C366" s="114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</row>
    <row r="367" ht="15.75" customHeight="1">
      <c r="A367" s="111"/>
      <c r="B367" s="112"/>
      <c r="C367" s="113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</row>
    <row r="368" ht="15.75" customHeight="1">
      <c r="A368" s="107"/>
      <c r="B368" s="108"/>
      <c r="C368" s="114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</row>
    <row r="369" ht="15.75" customHeight="1">
      <c r="A369" s="111"/>
      <c r="B369" s="112"/>
      <c r="C369" s="113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</row>
    <row r="370" ht="15.75" customHeight="1">
      <c r="A370" s="107"/>
      <c r="B370" s="108"/>
      <c r="C370" s="114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</row>
    <row r="371" ht="15.75" customHeight="1">
      <c r="A371" s="111"/>
      <c r="B371" s="112"/>
      <c r="C371" s="113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</row>
    <row r="372" ht="15.75" customHeight="1">
      <c r="A372" s="107"/>
      <c r="B372" s="108"/>
      <c r="C372" s="114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</row>
    <row r="373" ht="15.75" customHeight="1">
      <c r="A373" s="111"/>
      <c r="B373" s="112"/>
      <c r="C373" s="113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</row>
    <row r="374" ht="15.75" customHeight="1">
      <c r="A374" s="107"/>
      <c r="B374" s="108"/>
      <c r="C374" s="114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</row>
    <row r="375" ht="15.75" customHeight="1">
      <c r="A375" s="111"/>
      <c r="B375" s="112"/>
      <c r="C375" s="113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</row>
    <row r="376" ht="15.75" customHeight="1">
      <c r="A376" s="107"/>
      <c r="B376" s="108"/>
      <c r="C376" s="114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</row>
    <row r="377" ht="15.75" customHeight="1">
      <c r="A377" s="109"/>
      <c r="B377" s="110"/>
      <c r="C377" s="93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</row>
    <row r="378" ht="15.75" customHeight="1">
      <c r="A378" s="91"/>
      <c r="B378" s="92"/>
      <c r="C378" s="93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</row>
    <row r="379" ht="15.75" customHeight="1">
      <c r="A379" s="109"/>
      <c r="B379" s="110"/>
      <c r="C379" s="93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</row>
    <row r="380" ht="15.75" customHeight="1">
      <c r="A380" s="91"/>
      <c r="B380" s="92"/>
      <c r="C380" s="93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</row>
    <row r="381" ht="15.75" customHeight="1">
      <c r="A381" s="109"/>
      <c r="B381" s="110"/>
      <c r="C381" s="93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</row>
    <row r="382" ht="15.75" customHeight="1">
      <c r="A382" s="107"/>
      <c r="B382" s="108"/>
      <c r="C382" s="93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</row>
    <row r="383" ht="15.75" customHeight="1">
      <c r="A383" s="105"/>
      <c r="B383" s="106"/>
      <c r="C383" s="93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</row>
    <row r="384" ht="15.75" customHeight="1">
      <c r="A384" s="107"/>
      <c r="B384" s="108"/>
      <c r="C384" s="93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</row>
    <row r="385" ht="15.75" customHeight="1">
      <c r="A385" s="105"/>
      <c r="B385" s="106"/>
      <c r="C385" s="93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</row>
    <row r="386" ht="15.75" customHeight="1">
      <c r="A386" s="107"/>
      <c r="B386" s="108"/>
      <c r="C386" s="93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</row>
    <row r="387" ht="15.75" customHeight="1">
      <c r="A387" s="105"/>
      <c r="B387" s="106"/>
      <c r="C387" s="93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</row>
    <row r="388" ht="15.75" customHeight="1">
      <c r="A388" s="107"/>
      <c r="B388" s="108"/>
      <c r="C388" s="93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</row>
    <row r="389" ht="15.75" customHeight="1">
      <c r="A389" s="105"/>
      <c r="B389" s="106"/>
      <c r="C389" s="93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</row>
    <row r="390" ht="15.75" customHeight="1">
      <c r="A390" s="107"/>
      <c r="B390" s="108"/>
      <c r="C390" s="93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</row>
    <row r="391" ht="15.75" customHeight="1">
      <c r="A391" s="105"/>
      <c r="B391" s="106"/>
      <c r="C391" s="93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</row>
    <row r="392" ht="15.75" customHeight="1">
      <c r="A392" s="107"/>
      <c r="B392" s="108"/>
      <c r="C392" s="93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</row>
    <row r="393" ht="15.75" customHeight="1">
      <c r="A393" s="105"/>
      <c r="B393" s="106"/>
      <c r="C393" s="93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</row>
    <row r="394" ht="15.75" customHeight="1">
      <c r="A394" s="107"/>
      <c r="B394" s="108"/>
      <c r="C394" s="93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</row>
    <row r="395" ht="15.75" customHeight="1">
      <c r="A395" s="105"/>
      <c r="B395" s="106"/>
      <c r="C395" s="93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</row>
    <row r="396" ht="15.75" customHeight="1">
      <c r="A396" s="107"/>
      <c r="B396" s="108"/>
      <c r="C396" s="93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</row>
    <row r="397" ht="15.75" customHeight="1">
      <c r="A397" s="105"/>
      <c r="B397" s="106"/>
      <c r="C397" s="93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</row>
    <row r="398" ht="15.75" customHeight="1">
      <c r="A398" s="107"/>
      <c r="B398" s="108"/>
      <c r="C398" s="93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</row>
    <row r="399" ht="15.75" customHeight="1">
      <c r="A399" s="105"/>
      <c r="B399" s="106"/>
      <c r="C399" s="93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</row>
    <row r="400" ht="15.75" customHeight="1">
      <c r="A400" s="107"/>
      <c r="B400" s="108"/>
      <c r="C400" s="93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</row>
    <row r="401" ht="15.75" customHeight="1">
      <c r="A401" s="105"/>
      <c r="B401" s="106"/>
      <c r="C401" s="93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</row>
    <row r="402" ht="15.75" customHeight="1">
      <c r="A402" s="107"/>
      <c r="B402" s="108"/>
      <c r="C402" s="93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</row>
    <row r="403" ht="15.75" customHeight="1">
      <c r="A403" s="105"/>
      <c r="B403" s="106"/>
      <c r="C403" s="93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</row>
    <row r="404" ht="15.75" customHeight="1">
      <c r="A404" s="107"/>
      <c r="B404" s="108"/>
      <c r="C404" s="93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</row>
    <row r="405" ht="15.75" customHeight="1">
      <c r="A405" s="105"/>
      <c r="B405" s="106"/>
      <c r="C405" s="93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</row>
    <row r="406" ht="15.75" customHeight="1">
      <c r="A406" s="107"/>
      <c r="B406" s="108"/>
      <c r="C406" s="93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</row>
    <row r="407" ht="15.75" customHeight="1">
      <c r="A407" s="105"/>
      <c r="B407" s="106"/>
      <c r="C407" s="93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</row>
    <row r="408" ht="15.75" customHeight="1">
      <c r="A408" s="107"/>
      <c r="B408" s="108"/>
      <c r="C408" s="93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</row>
    <row r="409" ht="15.75" customHeight="1">
      <c r="A409" s="105"/>
      <c r="B409" s="106"/>
      <c r="C409" s="93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</row>
    <row r="410" ht="15.75" customHeight="1">
      <c r="A410" s="107"/>
      <c r="B410" s="108"/>
      <c r="C410" s="93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</row>
    <row r="411" ht="15.75" customHeight="1">
      <c r="A411" s="105"/>
      <c r="B411" s="106"/>
      <c r="C411" s="93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</row>
    <row r="412" ht="15.75" customHeight="1">
      <c r="A412" s="107"/>
      <c r="B412" s="108"/>
      <c r="C412" s="93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</row>
    <row r="413" ht="15.75" customHeight="1">
      <c r="A413" s="105"/>
      <c r="B413" s="106"/>
      <c r="C413" s="93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</row>
    <row r="414" ht="15.75" customHeight="1">
      <c r="A414" s="107"/>
      <c r="B414" s="108"/>
      <c r="C414" s="93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</row>
    <row r="415" ht="15.75" customHeight="1">
      <c r="A415" s="105"/>
      <c r="B415" s="106"/>
      <c r="C415" s="93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</row>
    <row r="416" ht="15.75" customHeight="1">
      <c r="A416" s="107"/>
      <c r="B416" s="108"/>
      <c r="C416" s="93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</row>
    <row r="417" ht="15.75" customHeight="1">
      <c r="A417" s="105"/>
      <c r="B417" s="106"/>
      <c r="C417" s="93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</row>
    <row r="418" ht="15.75" customHeight="1">
      <c r="A418" s="107"/>
      <c r="B418" s="108"/>
      <c r="C418" s="93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</row>
    <row r="419" ht="15.75" customHeight="1">
      <c r="A419" s="105"/>
      <c r="B419" s="106"/>
      <c r="C419" s="93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</row>
    <row r="420" ht="15.75" customHeight="1">
      <c r="A420" s="107"/>
      <c r="B420" s="108"/>
      <c r="C420" s="93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</row>
    <row r="421" ht="15.75" customHeight="1">
      <c r="A421" s="105"/>
      <c r="B421" s="106"/>
      <c r="C421" s="93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</row>
    <row r="422" ht="15.75" customHeight="1">
      <c r="A422" s="107"/>
      <c r="B422" s="108"/>
      <c r="C422" s="93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</row>
    <row r="423" ht="15.75" customHeight="1">
      <c r="A423" s="109"/>
      <c r="B423" s="110"/>
      <c r="C423" s="93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</row>
    <row r="424" ht="15.75" customHeight="1">
      <c r="A424" s="91"/>
      <c r="B424" s="92"/>
      <c r="C424" s="93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</row>
    <row r="425" ht="15.75" customHeight="1">
      <c r="A425" s="109"/>
      <c r="B425" s="110"/>
      <c r="C425" s="93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</row>
    <row r="426" ht="15.75" customHeight="1">
      <c r="A426" s="107"/>
      <c r="B426" s="108"/>
      <c r="C426" s="93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</row>
    <row r="427" ht="15.75" customHeight="1">
      <c r="A427" s="105"/>
      <c r="B427" s="106"/>
      <c r="C427" s="93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</row>
    <row r="428" ht="15.75" customHeight="1">
      <c r="A428" s="107"/>
      <c r="B428" s="108"/>
      <c r="C428" s="93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</row>
    <row r="429" ht="15.75" customHeight="1">
      <c r="A429" s="105"/>
      <c r="B429" s="106"/>
      <c r="C429" s="93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</row>
    <row r="430" ht="15.75" customHeight="1">
      <c r="A430" s="107"/>
      <c r="B430" s="108"/>
      <c r="C430" s="93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</row>
    <row r="431" ht="15.75" customHeight="1">
      <c r="A431" s="105"/>
      <c r="B431" s="106"/>
      <c r="C431" s="93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</row>
    <row r="432" ht="15.75" customHeight="1">
      <c r="A432" s="107"/>
      <c r="B432" s="108"/>
      <c r="C432" s="93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</row>
    <row r="433" ht="15.75" customHeight="1">
      <c r="A433" s="105"/>
      <c r="B433" s="106"/>
      <c r="C433" s="93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</row>
    <row r="434" ht="15.75" customHeight="1">
      <c r="A434" s="107"/>
      <c r="B434" s="108"/>
      <c r="C434" s="93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</row>
    <row r="435" ht="15.75" customHeight="1">
      <c r="A435" s="109"/>
      <c r="B435" s="110"/>
      <c r="C435" s="93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</row>
    <row r="436" ht="15.75" customHeight="1">
      <c r="A436" s="91"/>
      <c r="B436" s="92"/>
      <c r="C436" s="93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</row>
    <row r="437" ht="15.75" customHeight="1">
      <c r="A437" s="109"/>
      <c r="B437" s="110"/>
      <c r="C437" s="93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</row>
    <row r="438" ht="15.75" customHeight="1">
      <c r="A438" s="107"/>
      <c r="B438" s="108"/>
      <c r="C438" s="93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</row>
    <row r="439" ht="15.75" customHeight="1">
      <c r="A439" s="105"/>
      <c r="B439" s="106"/>
      <c r="C439" s="93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</row>
    <row r="440" ht="15.75" customHeight="1">
      <c r="A440" s="107"/>
      <c r="B440" s="108"/>
      <c r="C440" s="93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</row>
    <row r="441" ht="15.75" customHeight="1">
      <c r="A441" s="105"/>
      <c r="B441" s="106"/>
      <c r="C441" s="93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</row>
    <row r="442" ht="15.75" customHeight="1">
      <c r="A442" s="107"/>
      <c r="B442" s="108"/>
      <c r="C442" s="93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</row>
    <row r="443" ht="15.75" customHeight="1">
      <c r="A443" s="109"/>
      <c r="B443" s="110"/>
      <c r="C443" s="93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</row>
    <row r="444" ht="15.75" customHeight="1">
      <c r="A444" s="91"/>
      <c r="B444" s="92"/>
      <c r="C444" s="93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</row>
    <row r="445" ht="15.75" customHeight="1">
      <c r="A445" s="109"/>
      <c r="B445" s="110"/>
      <c r="C445" s="93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</row>
    <row r="446" ht="15.75" customHeight="1">
      <c r="A446" s="107"/>
      <c r="B446" s="108"/>
      <c r="C446" s="93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</row>
    <row r="447" ht="15.75" customHeight="1">
      <c r="A447" s="105"/>
      <c r="B447" s="106"/>
      <c r="C447" s="93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</row>
    <row r="448" ht="15.75" customHeight="1">
      <c r="A448" s="107"/>
      <c r="B448" s="108"/>
      <c r="C448" s="93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</row>
    <row r="449" ht="15.75" customHeight="1">
      <c r="A449" s="105"/>
      <c r="B449" s="106"/>
      <c r="C449" s="93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</row>
    <row r="450" ht="15.75" customHeight="1">
      <c r="A450" s="107"/>
      <c r="B450" s="108"/>
      <c r="C450" s="93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</row>
    <row r="451" ht="15.75" customHeight="1">
      <c r="A451" s="105"/>
      <c r="B451" s="106"/>
      <c r="C451" s="93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</row>
    <row r="452" ht="15.75" customHeight="1">
      <c r="A452" s="107"/>
      <c r="B452" s="108"/>
      <c r="C452" s="93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</row>
    <row r="453" ht="15.75" customHeight="1">
      <c r="A453" s="105"/>
      <c r="B453" s="106"/>
      <c r="C453" s="93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</row>
    <row r="454" ht="15.75" customHeight="1">
      <c r="A454" s="107"/>
      <c r="B454" s="108"/>
      <c r="C454" s="93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</row>
    <row r="455" ht="15.75" customHeight="1">
      <c r="A455" s="109"/>
      <c r="B455" s="110"/>
      <c r="C455" s="93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</row>
    <row r="456" ht="15.75" customHeight="1">
      <c r="A456" s="91"/>
      <c r="B456" s="92"/>
      <c r="C456" s="93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</row>
    <row r="457" ht="15.75" customHeight="1">
      <c r="A457" s="109"/>
      <c r="B457" s="110"/>
      <c r="C457" s="93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</row>
    <row r="458" ht="15.75" customHeight="1">
      <c r="A458" s="107"/>
      <c r="B458" s="108"/>
      <c r="C458" s="93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</row>
    <row r="459" ht="15.75" customHeight="1">
      <c r="A459" s="105"/>
      <c r="B459" s="106"/>
      <c r="C459" s="93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</row>
    <row r="460" ht="15.75" customHeight="1">
      <c r="A460" s="107"/>
      <c r="B460" s="108"/>
      <c r="C460" s="93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</row>
    <row r="461" ht="15.75" customHeight="1">
      <c r="A461" s="105"/>
      <c r="B461" s="106"/>
      <c r="C461" s="93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</row>
    <row r="462" ht="15.75" customHeight="1">
      <c r="A462" s="107"/>
      <c r="B462" s="108"/>
      <c r="C462" s="93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</row>
    <row r="463" ht="15.75" customHeight="1">
      <c r="A463" s="105"/>
      <c r="B463" s="106"/>
      <c r="C463" s="93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</row>
    <row r="464" ht="15.75" customHeight="1">
      <c r="A464" s="107"/>
      <c r="B464" s="108"/>
      <c r="C464" s="93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</row>
    <row r="465" ht="15.75" customHeight="1">
      <c r="A465" s="105"/>
      <c r="B465" s="106"/>
      <c r="C465" s="93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</row>
    <row r="466" ht="15.75" customHeight="1">
      <c r="A466" s="107"/>
      <c r="B466" s="108"/>
      <c r="C466" s="93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</row>
    <row r="467" ht="15.75" customHeight="1">
      <c r="A467" s="111"/>
      <c r="B467" s="112"/>
      <c r="C467" s="113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</row>
    <row r="468" ht="15.75" customHeight="1">
      <c r="A468" s="107"/>
      <c r="B468" s="108"/>
      <c r="C468" s="114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</row>
    <row r="469" ht="15.75" customHeight="1">
      <c r="A469" s="111"/>
      <c r="B469" s="112"/>
      <c r="C469" s="113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</row>
    <row r="470" ht="15.75" customHeight="1">
      <c r="A470" s="107"/>
      <c r="B470" s="108"/>
      <c r="C470" s="114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</row>
    <row r="471" ht="15.75" customHeight="1">
      <c r="A471" s="111"/>
      <c r="B471" s="112"/>
      <c r="C471" s="113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</row>
    <row r="472" ht="15.75" customHeight="1">
      <c r="A472" s="107"/>
      <c r="B472" s="108"/>
      <c r="C472" s="114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</row>
    <row r="473" ht="15.75" customHeight="1">
      <c r="A473" s="111"/>
      <c r="B473" s="112"/>
      <c r="C473" s="113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</row>
    <row r="474" ht="15.75" customHeight="1">
      <c r="A474" s="107"/>
      <c r="B474" s="108"/>
      <c r="C474" s="114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</row>
    <row r="475" ht="15.75" customHeight="1">
      <c r="A475" s="111"/>
      <c r="B475" s="112"/>
      <c r="C475" s="113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</row>
    <row r="476" ht="15.75" customHeight="1">
      <c r="A476" s="107"/>
      <c r="B476" s="108"/>
      <c r="C476" s="114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</row>
    <row r="477" ht="15.75" customHeight="1">
      <c r="A477" s="111"/>
      <c r="B477" s="112"/>
      <c r="C477" s="113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</row>
    <row r="478" ht="15.75" customHeight="1">
      <c r="A478" s="107"/>
      <c r="B478" s="108"/>
      <c r="C478" s="114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</row>
    <row r="479" ht="15.75" customHeight="1">
      <c r="A479" s="111"/>
      <c r="B479" s="112"/>
      <c r="C479" s="113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</row>
    <row r="480" ht="15.75" customHeight="1">
      <c r="A480" s="107"/>
      <c r="B480" s="108"/>
      <c r="C480" s="114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</row>
    <row r="481" ht="15.75" customHeight="1">
      <c r="A481" s="111"/>
      <c r="B481" s="112"/>
      <c r="C481" s="113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</row>
    <row r="482" ht="15.75" customHeight="1">
      <c r="A482" s="107"/>
      <c r="B482" s="108"/>
      <c r="C482" s="114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</row>
    <row r="483" ht="15.75" customHeight="1">
      <c r="A483" s="111"/>
      <c r="B483" s="112"/>
      <c r="C483" s="113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</row>
    <row r="484" ht="15.75" customHeight="1">
      <c r="A484" s="107"/>
      <c r="B484" s="108"/>
      <c r="C484" s="114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</row>
    <row r="485" ht="15.75" customHeight="1">
      <c r="A485" s="111"/>
      <c r="B485" s="112"/>
      <c r="C485" s="113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</row>
    <row r="486" ht="15.75" customHeight="1">
      <c r="A486" s="107"/>
      <c r="B486" s="108"/>
      <c r="C486" s="114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</row>
    <row r="487" ht="15.75" customHeight="1">
      <c r="A487" s="111"/>
      <c r="B487" s="112"/>
      <c r="C487" s="113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</row>
    <row r="488" ht="15.75" customHeight="1">
      <c r="A488" s="107"/>
      <c r="B488" s="108"/>
      <c r="C488" s="114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</row>
    <row r="489" ht="15.75" customHeight="1">
      <c r="A489" s="111"/>
      <c r="B489" s="112"/>
      <c r="C489" s="113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</row>
    <row r="490" ht="15.75" customHeight="1">
      <c r="A490" s="107"/>
      <c r="B490" s="108"/>
      <c r="C490" s="114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</row>
    <row r="491" ht="15.75" customHeight="1">
      <c r="A491" s="111"/>
      <c r="B491" s="112"/>
      <c r="C491" s="113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</row>
    <row r="492" ht="15.75" customHeight="1">
      <c r="A492" s="107"/>
      <c r="B492" s="108"/>
      <c r="C492" s="114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</row>
    <row r="493" ht="15.75" customHeight="1">
      <c r="A493" s="111"/>
      <c r="B493" s="112"/>
      <c r="C493" s="113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</row>
    <row r="494" ht="15.75" customHeight="1">
      <c r="A494" s="107"/>
      <c r="B494" s="108"/>
      <c r="C494" s="114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</row>
    <row r="495" ht="15.75" customHeight="1">
      <c r="A495" s="111"/>
      <c r="B495" s="112"/>
      <c r="C495" s="113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</row>
    <row r="496" ht="15.75" customHeight="1">
      <c r="A496" s="107"/>
      <c r="B496" s="108"/>
      <c r="C496" s="114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</row>
    <row r="497" ht="15.75" customHeight="1">
      <c r="A497" s="111"/>
      <c r="B497" s="112"/>
      <c r="C497" s="113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</row>
    <row r="498" ht="15.75" customHeight="1">
      <c r="A498" s="107"/>
      <c r="B498" s="108"/>
      <c r="C498" s="114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</row>
    <row r="499" ht="15.75" customHeight="1">
      <c r="A499" s="111"/>
      <c r="B499" s="112"/>
      <c r="C499" s="113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</row>
    <row r="500" ht="15.75" customHeight="1">
      <c r="A500" s="107"/>
      <c r="B500" s="108"/>
      <c r="C500" s="114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</row>
    <row r="501" ht="15.75" customHeight="1">
      <c r="A501" s="111"/>
      <c r="B501" s="112"/>
      <c r="C501" s="113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</row>
    <row r="502" ht="15.75" customHeight="1">
      <c r="A502" s="107"/>
      <c r="B502" s="108"/>
      <c r="C502" s="114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</row>
    <row r="503" ht="15.75" customHeight="1">
      <c r="A503" s="111"/>
      <c r="B503" s="112"/>
      <c r="C503" s="113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</row>
    <row r="504" ht="15.75" customHeight="1">
      <c r="A504" s="107"/>
      <c r="B504" s="108"/>
      <c r="C504" s="114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</row>
    <row r="505" ht="15.75" customHeight="1">
      <c r="A505" s="111"/>
      <c r="B505" s="112"/>
      <c r="C505" s="113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</row>
    <row r="506" ht="15.75" customHeight="1">
      <c r="A506" s="107"/>
      <c r="B506" s="108"/>
      <c r="C506" s="114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</row>
    <row r="507" ht="15.75" customHeight="1">
      <c r="A507" s="111"/>
      <c r="B507" s="112"/>
      <c r="C507" s="113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</row>
    <row r="508" ht="15.75" customHeight="1">
      <c r="A508" s="107"/>
      <c r="B508" s="108"/>
      <c r="C508" s="114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</row>
    <row r="509" ht="15.75" customHeight="1">
      <c r="A509" s="111"/>
      <c r="B509" s="112"/>
      <c r="C509" s="113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</row>
    <row r="510" ht="15.75" customHeight="1">
      <c r="A510" s="107"/>
      <c r="B510" s="108"/>
      <c r="C510" s="114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</row>
    <row r="511" ht="15.75" customHeight="1">
      <c r="A511" s="111"/>
      <c r="B511" s="112"/>
      <c r="C511" s="113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</row>
    <row r="512" ht="15.75" customHeight="1">
      <c r="A512" s="107"/>
      <c r="B512" s="108"/>
      <c r="C512" s="114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</row>
    <row r="513" ht="15.75" customHeight="1">
      <c r="A513" s="111"/>
      <c r="B513" s="112"/>
      <c r="C513" s="113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</row>
    <row r="514" ht="15.75" customHeight="1">
      <c r="A514" s="107"/>
      <c r="B514" s="108"/>
      <c r="C514" s="114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</row>
    <row r="515" ht="15.75" customHeight="1">
      <c r="A515" s="111"/>
      <c r="B515" s="112"/>
      <c r="C515" s="113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</row>
    <row r="516" ht="15.75" customHeight="1">
      <c r="A516" s="107"/>
      <c r="B516" s="108"/>
      <c r="C516" s="114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</row>
    <row r="517" ht="15.75" customHeight="1">
      <c r="A517" s="111"/>
      <c r="B517" s="112"/>
      <c r="C517" s="113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</row>
    <row r="518" ht="15.75" customHeight="1">
      <c r="A518" s="107"/>
      <c r="B518" s="108"/>
      <c r="C518" s="114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</row>
    <row r="519" ht="15.75" customHeight="1">
      <c r="A519" s="111"/>
      <c r="B519" s="112"/>
      <c r="C519" s="113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</row>
    <row r="520" ht="15.75" customHeight="1">
      <c r="A520" s="107"/>
      <c r="B520" s="108"/>
      <c r="C520" s="114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</row>
    <row r="521" ht="15.75" customHeight="1">
      <c r="A521" s="111"/>
      <c r="B521" s="112"/>
      <c r="C521" s="113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</row>
    <row r="522" ht="15.75" customHeight="1">
      <c r="A522" s="107"/>
      <c r="B522" s="108"/>
      <c r="C522" s="114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</row>
    <row r="523" ht="15.75" customHeight="1">
      <c r="A523" s="111"/>
      <c r="B523" s="112"/>
      <c r="C523" s="113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</row>
    <row r="524" ht="15.75" customHeight="1">
      <c r="A524" s="107"/>
      <c r="B524" s="108"/>
      <c r="C524" s="114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</row>
    <row r="525" ht="15.75" customHeight="1">
      <c r="A525" s="111"/>
      <c r="B525" s="112"/>
      <c r="C525" s="113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</row>
    <row r="526" ht="15.75" customHeight="1">
      <c r="A526" s="107"/>
      <c r="B526" s="108"/>
      <c r="C526" s="114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</row>
    <row r="527" ht="15.75" customHeight="1">
      <c r="A527" s="111"/>
      <c r="B527" s="112"/>
      <c r="C527" s="113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</row>
    <row r="528" ht="15.75" customHeight="1">
      <c r="A528" s="107"/>
      <c r="B528" s="108"/>
      <c r="C528" s="114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</row>
    <row r="529" ht="15.75" customHeight="1">
      <c r="A529" s="111"/>
      <c r="B529" s="112"/>
      <c r="C529" s="113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</row>
    <row r="530" ht="15.75" customHeight="1">
      <c r="A530" s="107"/>
      <c r="B530" s="108"/>
      <c r="C530" s="114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</row>
    <row r="531" ht="15.75" customHeight="1">
      <c r="A531" s="111"/>
      <c r="B531" s="112"/>
      <c r="C531" s="113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</row>
    <row r="532" ht="15.75" customHeight="1">
      <c r="A532" s="107"/>
      <c r="B532" s="108"/>
      <c r="C532" s="114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</row>
    <row r="533" ht="15.75" customHeight="1">
      <c r="A533" s="111"/>
      <c r="B533" s="112"/>
      <c r="C533" s="113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</row>
    <row r="534" ht="15.75" customHeight="1">
      <c r="A534" s="107"/>
      <c r="B534" s="108"/>
      <c r="C534" s="114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</row>
    <row r="535" ht="15.75" customHeight="1">
      <c r="A535" s="111"/>
      <c r="B535" s="112"/>
      <c r="C535" s="113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</row>
    <row r="536" ht="15.75" customHeight="1">
      <c r="A536" s="107"/>
      <c r="B536" s="108"/>
      <c r="C536" s="114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</row>
    <row r="537" ht="15.75" customHeight="1">
      <c r="A537" s="111"/>
      <c r="B537" s="112"/>
      <c r="C537" s="113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</row>
    <row r="538" ht="15.75" customHeight="1">
      <c r="A538" s="107"/>
      <c r="B538" s="108"/>
      <c r="C538" s="114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</row>
    <row r="539" ht="15.75" customHeight="1">
      <c r="A539" s="111"/>
      <c r="B539" s="112"/>
      <c r="C539" s="113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</row>
    <row r="540" ht="15.75" customHeight="1">
      <c r="A540" s="107"/>
      <c r="B540" s="108"/>
      <c r="C540" s="114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</row>
    <row r="541" ht="15.75" customHeight="1">
      <c r="A541" s="111"/>
      <c r="B541" s="112"/>
      <c r="C541" s="113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</row>
    <row r="542" ht="15.75" customHeight="1">
      <c r="A542" s="107"/>
      <c r="B542" s="108"/>
      <c r="C542" s="114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</row>
    <row r="543" ht="15.75" customHeight="1">
      <c r="A543" s="111"/>
      <c r="B543" s="112"/>
      <c r="C543" s="113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</row>
    <row r="544" ht="15.75" customHeight="1">
      <c r="A544" s="107"/>
      <c r="B544" s="108"/>
      <c r="C544" s="114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</row>
    <row r="545" ht="15.75" customHeight="1">
      <c r="A545" s="111"/>
      <c r="B545" s="112"/>
      <c r="C545" s="113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</row>
    <row r="546" ht="15.75" customHeight="1">
      <c r="A546" s="107"/>
      <c r="B546" s="108"/>
      <c r="C546" s="114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</row>
    <row r="547" ht="15.75" customHeight="1">
      <c r="A547" s="111"/>
      <c r="B547" s="112"/>
      <c r="C547" s="113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</row>
    <row r="548" ht="15.75" customHeight="1">
      <c r="A548" s="107"/>
      <c r="B548" s="108"/>
      <c r="C548" s="114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</row>
    <row r="549" ht="15.75" customHeight="1">
      <c r="A549" s="111"/>
      <c r="B549" s="112"/>
      <c r="C549" s="113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</row>
    <row r="550" ht="15.75" customHeight="1">
      <c r="A550" s="107"/>
      <c r="B550" s="108"/>
      <c r="C550" s="114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</row>
    <row r="551" ht="15.75" customHeight="1">
      <c r="A551" s="111"/>
      <c r="B551" s="112"/>
      <c r="C551" s="113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</row>
    <row r="552" ht="15.75" customHeight="1">
      <c r="A552" s="107"/>
      <c r="B552" s="108"/>
      <c r="C552" s="114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</row>
    <row r="553" ht="15.75" customHeight="1">
      <c r="A553" s="111"/>
      <c r="B553" s="112"/>
      <c r="C553" s="113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</row>
    <row r="554" ht="15.75" customHeight="1">
      <c r="A554" s="107"/>
      <c r="B554" s="108"/>
      <c r="C554" s="114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</row>
    <row r="555" ht="15.75" customHeight="1">
      <c r="A555" s="111"/>
      <c r="B555" s="112"/>
      <c r="C555" s="113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</row>
    <row r="556" ht="15.75" customHeight="1">
      <c r="A556" s="107"/>
      <c r="B556" s="108"/>
      <c r="C556" s="114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</row>
    <row r="557" ht="15.75" customHeight="1">
      <c r="A557" s="111"/>
      <c r="B557" s="112"/>
      <c r="C557" s="113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</row>
    <row r="558" ht="15.75" customHeight="1">
      <c r="A558" s="107"/>
      <c r="B558" s="108"/>
      <c r="C558" s="114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</row>
    <row r="559" ht="15.75" customHeight="1">
      <c r="A559" s="111"/>
      <c r="B559" s="112"/>
      <c r="C559" s="113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</row>
    <row r="560" ht="15.75" customHeight="1">
      <c r="A560" s="107"/>
      <c r="B560" s="108"/>
      <c r="C560" s="114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</row>
    <row r="561" ht="15.75" customHeight="1">
      <c r="A561" s="111"/>
      <c r="B561" s="112"/>
      <c r="C561" s="113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</row>
    <row r="562" ht="15.75" customHeight="1">
      <c r="A562" s="107"/>
      <c r="B562" s="108"/>
      <c r="C562" s="114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</row>
    <row r="563" ht="15.75" customHeight="1">
      <c r="A563" s="111"/>
      <c r="B563" s="112"/>
      <c r="C563" s="113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</row>
    <row r="564" ht="15.75" customHeight="1">
      <c r="A564" s="107"/>
      <c r="B564" s="108"/>
      <c r="C564" s="114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</row>
    <row r="565" ht="15.75" customHeight="1">
      <c r="A565" s="111"/>
      <c r="B565" s="112"/>
      <c r="C565" s="113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</row>
    <row r="566" ht="15.75" customHeight="1">
      <c r="A566" s="107"/>
      <c r="B566" s="108"/>
      <c r="C566" s="114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</row>
    <row r="567" ht="15.75" customHeight="1">
      <c r="A567" s="111"/>
      <c r="B567" s="112"/>
      <c r="C567" s="113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</row>
    <row r="568" ht="15.75" customHeight="1">
      <c r="A568" s="107"/>
      <c r="B568" s="108"/>
      <c r="C568" s="114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</row>
    <row r="569" ht="15.75" customHeight="1">
      <c r="A569" s="111"/>
      <c r="B569" s="112"/>
      <c r="C569" s="113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</row>
    <row r="570" ht="15.75" customHeight="1">
      <c r="A570" s="107"/>
      <c r="B570" s="108"/>
      <c r="C570" s="114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</row>
    <row r="571" ht="15.75" customHeight="1">
      <c r="A571" s="111"/>
      <c r="B571" s="112"/>
      <c r="C571" s="113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</row>
    <row r="572" ht="15.75" customHeight="1">
      <c r="A572" s="107"/>
      <c r="B572" s="108"/>
      <c r="C572" s="114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</row>
    <row r="573" ht="15.75" customHeight="1">
      <c r="A573" s="111"/>
      <c r="B573" s="112"/>
      <c r="C573" s="113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</row>
    <row r="574" ht="15.75" customHeight="1">
      <c r="A574" s="107"/>
      <c r="B574" s="108"/>
      <c r="C574" s="114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</row>
    <row r="575" ht="15.75" customHeight="1">
      <c r="A575" s="111"/>
      <c r="B575" s="112"/>
      <c r="C575" s="113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</row>
    <row r="576" ht="15.75" customHeight="1">
      <c r="A576" s="107"/>
      <c r="B576" s="108"/>
      <c r="C576" s="114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</row>
    <row r="577" ht="15.75" customHeight="1">
      <c r="A577" s="111"/>
      <c r="B577" s="112"/>
      <c r="C577" s="113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</row>
    <row r="578" ht="15.75" customHeight="1">
      <c r="A578" s="107"/>
      <c r="B578" s="108"/>
      <c r="C578" s="114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</row>
    <row r="579" ht="15.75" customHeight="1">
      <c r="A579" s="111"/>
      <c r="B579" s="112"/>
      <c r="C579" s="113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</row>
    <row r="580" ht="15.75" customHeight="1">
      <c r="A580" s="107"/>
      <c r="B580" s="108"/>
      <c r="C580" s="114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</row>
    <row r="581" ht="15.75" customHeight="1">
      <c r="A581" s="111"/>
      <c r="B581" s="112"/>
      <c r="C581" s="113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</row>
    <row r="582" ht="15.75" customHeight="1">
      <c r="A582" s="107"/>
      <c r="B582" s="108"/>
      <c r="C582" s="114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</row>
    <row r="583" ht="15.75" customHeight="1">
      <c r="A583" s="111"/>
      <c r="B583" s="112"/>
      <c r="C583" s="113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</row>
    <row r="584" ht="15.75" customHeight="1">
      <c r="A584" s="107"/>
      <c r="B584" s="108"/>
      <c r="C584" s="114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</row>
    <row r="585" ht="15.75" customHeight="1">
      <c r="A585" s="111"/>
      <c r="B585" s="112"/>
      <c r="C585" s="113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</row>
    <row r="586" ht="15.75" customHeight="1">
      <c r="A586" s="107"/>
      <c r="B586" s="108"/>
      <c r="C586" s="114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</row>
    <row r="587" ht="15.75" customHeight="1">
      <c r="A587" s="111"/>
      <c r="B587" s="112"/>
      <c r="C587" s="113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</row>
    <row r="588" ht="15.75" customHeight="1">
      <c r="A588" s="107"/>
      <c r="B588" s="108"/>
      <c r="C588" s="114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</row>
    <row r="589" ht="15.75" customHeight="1">
      <c r="A589" s="111"/>
      <c r="B589" s="112"/>
      <c r="C589" s="113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</row>
    <row r="590" ht="15.75" customHeight="1">
      <c r="A590" s="107"/>
      <c r="B590" s="108"/>
      <c r="C590" s="114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</row>
    <row r="591" ht="15.75" customHeight="1">
      <c r="A591" s="111"/>
      <c r="B591" s="112"/>
      <c r="C591" s="113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</row>
    <row r="592" ht="15.75" customHeight="1">
      <c r="A592" s="107"/>
      <c r="B592" s="108"/>
      <c r="C592" s="114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</row>
    <row r="593" ht="15.75" customHeight="1">
      <c r="A593" s="111"/>
      <c r="B593" s="112"/>
      <c r="C593" s="113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</row>
    <row r="594" ht="15.75" customHeight="1">
      <c r="A594" s="107"/>
      <c r="B594" s="108"/>
      <c r="C594" s="114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</row>
    <row r="595" ht="15.75" customHeight="1">
      <c r="A595" s="111"/>
      <c r="B595" s="112"/>
      <c r="C595" s="113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</row>
    <row r="596" ht="15.75" customHeight="1">
      <c r="A596" s="107"/>
      <c r="B596" s="108"/>
      <c r="C596" s="114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</row>
    <row r="597" ht="15.75" customHeight="1">
      <c r="A597" s="111"/>
      <c r="B597" s="112"/>
      <c r="C597" s="113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</row>
    <row r="598" ht="15.75" customHeight="1">
      <c r="A598" s="107"/>
      <c r="B598" s="108"/>
      <c r="C598" s="114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</row>
    <row r="599" ht="15.75" customHeight="1">
      <c r="A599" s="111"/>
      <c r="B599" s="112"/>
      <c r="C599" s="113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</row>
    <row r="600" ht="15.75" customHeight="1">
      <c r="A600" s="107"/>
      <c r="B600" s="108"/>
      <c r="C600" s="114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</row>
    <row r="601" ht="15.75" customHeight="1">
      <c r="A601" s="111"/>
      <c r="B601" s="112"/>
      <c r="C601" s="113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</row>
    <row r="602" ht="15.75" customHeight="1">
      <c r="A602" s="107"/>
      <c r="B602" s="108"/>
      <c r="C602" s="114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</row>
    <row r="603" ht="15.75" customHeight="1">
      <c r="A603" s="111"/>
      <c r="B603" s="112"/>
      <c r="C603" s="113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</row>
    <row r="604" ht="15.75" customHeight="1">
      <c r="A604" s="107"/>
      <c r="B604" s="108"/>
      <c r="C604" s="114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</row>
    <row r="605" ht="15.75" customHeight="1">
      <c r="A605" s="111"/>
      <c r="B605" s="112"/>
      <c r="C605" s="113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</row>
    <row r="606" ht="15.75" customHeight="1">
      <c r="A606" s="107"/>
      <c r="B606" s="108"/>
      <c r="C606" s="114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</row>
    <row r="607" ht="15.75" customHeight="1">
      <c r="A607" s="111"/>
      <c r="B607" s="112"/>
      <c r="C607" s="113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</row>
    <row r="608" ht="15.75" customHeight="1">
      <c r="A608" s="107"/>
      <c r="B608" s="108"/>
      <c r="C608" s="114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</row>
    <row r="609" ht="15.75" customHeight="1">
      <c r="A609" s="111"/>
      <c r="B609" s="112"/>
      <c r="C609" s="113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</row>
    <row r="610" ht="15.75" customHeight="1">
      <c r="A610" s="107"/>
      <c r="B610" s="108"/>
      <c r="C610" s="114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</row>
    <row r="611" ht="15.75" customHeight="1">
      <c r="A611" s="111"/>
      <c r="B611" s="112"/>
      <c r="C611" s="113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</row>
    <row r="612" ht="15.75" customHeight="1">
      <c r="A612" s="107"/>
      <c r="B612" s="108"/>
      <c r="C612" s="114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</row>
    <row r="613" ht="15.75" customHeight="1">
      <c r="A613" s="111"/>
      <c r="B613" s="112"/>
      <c r="C613" s="113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</row>
    <row r="614" ht="15.75" customHeight="1">
      <c r="A614" s="107"/>
      <c r="B614" s="108"/>
      <c r="C614" s="114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</row>
    <row r="615" ht="15.75" customHeight="1">
      <c r="A615" s="111"/>
      <c r="B615" s="112"/>
      <c r="C615" s="113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</row>
    <row r="616" ht="15.75" customHeight="1">
      <c r="A616" s="107"/>
      <c r="B616" s="108"/>
      <c r="C616" s="114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</row>
    <row r="617" ht="15.75" customHeight="1">
      <c r="A617" s="111"/>
      <c r="B617" s="112"/>
      <c r="C617" s="113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</row>
    <row r="618" ht="15.75" customHeight="1">
      <c r="A618" s="107"/>
      <c r="B618" s="108"/>
      <c r="C618" s="114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</row>
    <row r="619" ht="15.75" customHeight="1">
      <c r="A619" s="111"/>
      <c r="B619" s="112"/>
      <c r="C619" s="113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</row>
    <row r="620" ht="15.75" customHeight="1">
      <c r="A620" s="107"/>
      <c r="B620" s="108"/>
      <c r="C620" s="114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</row>
    <row r="621" ht="15.75" customHeight="1">
      <c r="A621" s="111"/>
      <c r="B621" s="112"/>
      <c r="C621" s="113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</row>
    <row r="622" ht="15.75" customHeight="1">
      <c r="A622" s="107"/>
      <c r="B622" s="108"/>
      <c r="C622" s="114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</row>
    <row r="623" ht="15.75" customHeight="1">
      <c r="A623" s="111"/>
      <c r="B623" s="112"/>
      <c r="C623" s="113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</row>
    <row r="624" ht="15.75" customHeight="1">
      <c r="A624" s="107"/>
      <c r="B624" s="108"/>
      <c r="C624" s="114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</row>
    <row r="625" ht="15.75" customHeight="1">
      <c r="A625" s="111"/>
      <c r="B625" s="112"/>
      <c r="C625" s="113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</row>
    <row r="626" ht="15.75" customHeight="1">
      <c r="A626" s="107"/>
      <c r="B626" s="108"/>
      <c r="C626" s="114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</row>
    <row r="627" ht="15.75" customHeight="1">
      <c r="A627" s="111"/>
      <c r="B627" s="112"/>
      <c r="C627" s="113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</row>
    <row r="628" ht="15.75" customHeight="1">
      <c r="A628" s="107"/>
      <c r="B628" s="108"/>
      <c r="C628" s="114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</row>
    <row r="629" ht="15.75" customHeight="1">
      <c r="A629" s="111"/>
      <c r="B629" s="112"/>
      <c r="C629" s="113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</row>
    <row r="630" ht="15.75" customHeight="1">
      <c r="A630" s="107"/>
      <c r="B630" s="108"/>
      <c r="C630" s="114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</row>
    <row r="631" ht="15.75" customHeight="1">
      <c r="A631" s="111"/>
      <c r="B631" s="112"/>
      <c r="C631" s="113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</row>
    <row r="632" ht="15.75" customHeight="1">
      <c r="A632" s="107"/>
      <c r="B632" s="108"/>
      <c r="C632" s="114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</row>
    <row r="633" ht="15.75" customHeight="1">
      <c r="A633" s="111"/>
      <c r="B633" s="112"/>
      <c r="C633" s="113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</row>
    <row r="634" ht="15.75" customHeight="1">
      <c r="A634" s="107"/>
      <c r="B634" s="108"/>
      <c r="C634" s="114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</row>
    <row r="635" ht="15.75" customHeight="1">
      <c r="A635" s="111"/>
      <c r="B635" s="112"/>
      <c r="C635" s="113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</row>
    <row r="636" ht="15.75" customHeight="1">
      <c r="A636" s="107"/>
      <c r="B636" s="108"/>
      <c r="C636" s="114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</row>
    <row r="637" ht="15.75" customHeight="1">
      <c r="A637" s="111"/>
      <c r="B637" s="112"/>
      <c r="C637" s="113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</row>
    <row r="638" ht="15.75" customHeight="1">
      <c r="A638" s="107"/>
      <c r="B638" s="108"/>
      <c r="C638" s="114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</row>
    <row r="639" ht="15.75" customHeight="1">
      <c r="A639" s="111"/>
      <c r="B639" s="112"/>
      <c r="C639" s="113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</row>
    <row r="640" ht="15.75" customHeight="1">
      <c r="A640" s="107"/>
      <c r="B640" s="108"/>
      <c r="C640" s="114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</row>
    <row r="641" ht="15.75" customHeight="1">
      <c r="A641" s="111"/>
      <c r="B641" s="112"/>
      <c r="C641" s="113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</row>
    <row r="642" ht="15.75" customHeight="1">
      <c r="A642" s="107"/>
      <c r="B642" s="108"/>
      <c r="C642" s="114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</row>
    <row r="643" ht="15.75" customHeight="1">
      <c r="A643" s="111"/>
      <c r="B643" s="112"/>
      <c r="C643" s="113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</row>
    <row r="644" ht="15.75" customHeight="1">
      <c r="A644" s="107"/>
      <c r="B644" s="108"/>
      <c r="C644" s="114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</row>
    <row r="645" ht="15.75" customHeight="1">
      <c r="A645" s="111"/>
      <c r="B645" s="112"/>
      <c r="C645" s="113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</row>
    <row r="646" ht="15.75" customHeight="1">
      <c r="A646" s="107"/>
      <c r="B646" s="108"/>
      <c r="C646" s="114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</row>
    <row r="647" ht="15.75" customHeight="1">
      <c r="A647" s="111"/>
      <c r="B647" s="112"/>
      <c r="C647" s="113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</row>
    <row r="648" ht="15.75" customHeight="1">
      <c r="A648" s="107"/>
      <c r="B648" s="108"/>
      <c r="C648" s="114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</row>
    <row r="649" ht="15.75" customHeight="1">
      <c r="A649" s="111"/>
      <c r="B649" s="112"/>
      <c r="C649" s="113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</row>
    <row r="650" ht="15.75" customHeight="1">
      <c r="A650" s="107"/>
      <c r="B650" s="108"/>
      <c r="C650" s="114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</row>
    <row r="651" ht="15.75" customHeight="1">
      <c r="A651" s="111"/>
      <c r="B651" s="112"/>
      <c r="C651" s="113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</row>
    <row r="652" ht="15.75" customHeight="1">
      <c r="A652" s="107"/>
      <c r="B652" s="108"/>
      <c r="C652" s="114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</row>
    <row r="653" ht="15.75" customHeight="1">
      <c r="A653" s="111"/>
      <c r="B653" s="112"/>
      <c r="C653" s="113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</row>
    <row r="654" ht="15.75" customHeight="1">
      <c r="A654" s="107"/>
      <c r="B654" s="108"/>
      <c r="C654" s="114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</row>
    <row r="655" ht="15.75" customHeight="1">
      <c r="A655" s="111"/>
      <c r="B655" s="112"/>
      <c r="C655" s="113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</row>
    <row r="656" ht="15.75" customHeight="1">
      <c r="A656" s="107"/>
      <c r="B656" s="108"/>
      <c r="C656" s="114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</row>
    <row r="657" ht="15.75" customHeight="1">
      <c r="A657" s="111"/>
      <c r="B657" s="112"/>
      <c r="C657" s="113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</row>
    <row r="658" ht="15.75" customHeight="1">
      <c r="A658" s="107"/>
      <c r="B658" s="108"/>
      <c r="C658" s="114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</row>
    <row r="659" ht="15.75" customHeight="1">
      <c r="A659" s="111"/>
      <c r="B659" s="112"/>
      <c r="C659" s="113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</row>
    <row r="660" ht="15.75" customHeight="1">
      <c r="A660" s="107"/>
      <c r="B660" s="108"/>
      <c r="C660" s="114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</row>
    <row r="661" ht="15.75" customHeight="1">
      <c r="A661" s="111"/>
      <c r="B661" s="112"/>
      <c r="C661" s="113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</row>
    <row r="662" ht="15.75" customHeight="1">
      <c r="A662" s="107"/>
      <c r="B662" s="108"/>
      <c r="C662" s="114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</row>
    <row r="663" ht="15.75" customHeight="1">
      <c r="A663" s="111"/>
      <c r="B663" s="112"/>
      <c r="C663" s="113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</row>
    <row r="664" ht="15.75" customHeight="1">
      <c r="A664" s="107"/>
      <c r="B664" s="108"/>
      <c r="C664" s="114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</row>
    <row r="665" ht="15.75" customHeight="1">
      <c r="A665" s="111"/>
      <c r="B665" s="112"/>
      <c r="C665" s="113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</row>
    <row r="666" ht="15.75" customHeight="1">
      <c r="A666" s="107"/>
      <c r="B666" s="108"/>
      <c r="C666" s="114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</row>
    <row r="667" ht="15.75" customHeight="1">
      <c r="A667" s="111"/>
      <c r="B667" s="112"/>
      <c r="C667" s="113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</row>
    <row r="668" ht="15.75" customHeight="1">
      <c r="A668" s="107"/>
      <c r="B668" s="108"/>
      <c r="C668" s="114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</row>
    <row r="669" ht="15.75" customHeight="1">
      <c r="A669" s="111"/>
      <c r="B669" s="112"/>
      <c r="C669" s="113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</row>
    <row r="670" ht="15.75" customHeight="1">
      <c r="A670" s="107"/>
      <c r="B670" s="108"/>
      <c r="C670" s="114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</row>
    <row r="671" ht="15.75" customHeight="1">
      <c r="A671" s="111"/>
      <c r="B671" s="112"/>
      <c r="C671" s="113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</row>
    <row r="672" ht="15.75" customHeight="1">
      <c r="A672" s="107"/>
      <c r="B672" s="108"/>
      <c r="C672" s="114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</row>
    <row r="673" ht="15.75" customHeight="1">
      <c r="A673" s="111"/>
      <c r="B673" s="112"/>
      <c r="C673" s="113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</row>
    <row r="674" ht="15.75" customHeight="1">
      <c r="A674" s="107"/>
      <c r="B674" s="108"/>
      <c r="C674" s="114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</row>
    <row r="675" ht="15.75" customHeight="1">
      <c r="A675" s="111"/>
      <c r="B675" s="112"/>
      <c r="C675" s="113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</row>
    <row r="676" ht="15.75" customHeight="1">
      <c r="A676" s="107"/>
      <c r="B676" s="108"/>
      <c r="C676" s="114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</row>
    <row r="677" ht="15.75" customHeight="1">
      <c r="A677" s="111"/>
      <c r="B677" s="112"/>
      <c r="C677" s="113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</row>
    <row r="678" ht="15.75" customHeight="1">
      <c r="A678" s="107"/>
      <c r="B678" s="108"/>
      <c r="C678" s="114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</row>
    <row r="679" ht="15.75" customHeight="1">
      <c r="A679" s="111"/>
      <c r="B679" s="112"/>
      <c r="C679" s="113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</row>
    <row r="680" ht="15.75" customHeight="1">
      <c r="A680" s="107"/>
      <c r="B680" s="108"/>
      <c r="C680" s="114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</row>
    <row r="681" ht="15.75" customHeight="1">
      <c r="A681" s="111"/>
      <c r="B681" s="112"/>
      <c r="C681" s="113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</row>
    <row r="682" ht="15.75" customHeight="1">
      <c r="A682" s="107"/>
      <c r="B682" s="108"/>
      <c r="C682" s="114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</row>
    <row r="683" ht="15.75" customHeight="1">
      <c r="A683" s="111"/>
      <c r="B683" s="112"/>
      <c r="C683" s="113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</row>
    <row r="684" ht="15.75" customHeight="1">
      <c r="A684" s="107"/>
      <c r="B684" s="108"/>
      <c r="C684" s="114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</row>
    <row r="685" ht="15.75" customHeight="1">
      <c r="A685" s="111"/>
      <c r="B685" s="112"/>
      <c r="C685" s="113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</row>
    <row r="686" ht="15.75" customHeight="1">
      <c r="A686" s="107"/>
      <c r="B686" s="108"/>
      <c r="C686" s="114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</row>
    <row r="687" ht="15.75" customHeight="1">
      <c r="A687" s="111"/>
      <c r="B687" s="112"/>
      <c r="C687" s="113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</row>
    <row r="688" ht="15.75" customHeight="1">
      <c r="A688" s="107"/>
      <c r="B688" s="108"/>
      <c r="C688" s="114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</row>
    <row r="689" ht="15.75" customHeight="1">
      <c r="A689" s="111"/>
      <c r="B689" s="112"/>
      <c r="C689" s="113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</row>
    <row r="690" ht="15.75" customHeight="1">
      <c r="A690" s="107"/>
      <c r="B690" s="108"/>
      <c r="C690" s="114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</row>
    <row r="691" ht="15.75" customHeight="1">
      <c r="A691" s="111"/>
      <c r="B691" s="112"/>
      <c r="C691" s="113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</row>
    <row r="692" ht="15.75" customHeight="1">
      <c r="A692" s="107"/>
      <c r="B692" s="108"/>
      <c r="C692" s="114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</row>
    <row r="693" ht="15.75" customHeight="1">
      <c r="A693" s="111"/>
      <c r="B693" s="112"/>
      <c r="C693" s="113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</row>
    <row r="694" ht="15.75" customHeight="1">
      <c r="A694" s="107"/>
      <c r="B694" s="108"/>
      <c r="C694" s="114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</row>
    <row r="695" ht="15.75" customHeight="1">
      <c r="A695" s="111"/>
      <c r="B695" s="112"/>
      <c r="C695" s="113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</row>
    <row r="696" ht="15.75" customHeight="1">
      <c r="A696" s="107"/>
      <c r="B696" s="108"/>
      <c r="C696" s="114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</row>
    <row r="697" ht="15.75" customHeight="1">
      <c r="A697" s="111"/>
      <c r="B697" s="112"/>
      <c r="C697" s="113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</row>
    <row r="698" ht="15.75" customHeight="1">
      <c r="A698" s="107"/>
      <c r="B698" s="108"/>
      <c r="C698" s="114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</row>
    <row r="699" ht="15.75" customHeight="1">
      <c r="A699" s="111"/>
      <c r="B699" s="112"/>
      <c r="C699" s="113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</row>
    <row r="700" ht="15.75" customHeight="1">
      <c r="A700" s="107"/>
      <c r="B700" s="108"/>
      <c r="C700" s="114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</row>
    <row r="701" ht="15.75" customHeight="1">
      <c r="A701" s="111"/>
      <c r="B701" s="112"/>
      <c r="C701" s="113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</row>
    <row r="702" ht="15.75" customHeight="1">
      <c r="A702" s="107"/>
      <c r="B702" s="108"/>
      <c r="C702" s="114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</row>
    <row r="703" ht="15.75" customHeight="1">
      <c r="A703" s="111"/>
      <c r="B703" s="112"/>
      <c r="C703" s="113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</row>
    <row r="704" ht="15.75" customHeight="1">
      <c r="A704" s="107"/>
      <c r="B704" s="108"/>
      <c r="C704" s="114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</row>
    <row r="705" ht="15.75" customHeight="1">
      <c r="A705" s="111"/>
      <c r="B705" s="112"/>
      <c r="C705" s="113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</row>
    <row r="706" ht="15.75" customHeight="1">
      <c r="A706" s="107"/>
      <c r="B706" s="108"/>
      <c r="C706" s="114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</row>
    <row r="707" ht="15.75" customHeight="1">
      <c r="A707" s="111"/>
      <c r="B707" s="112"/>
      <c r="C707" s="113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</row>
    <row r="708" ht="15.75" customHeight="1">
      <c r="A708" s="107"/>
      <c r="B708" s="108"/>
      <c r="C708" s="114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</row>
    <row r="709" ht="15.75" customHeight="1">
      <c r="A709" s="111"/>
      <c r="B709" s="112"/>
      <c r="C709" s="113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</row>
    <row r="710" ht="15.75" customHeight="1">
      <c r="A710" s="107"/>
      <c r="B710" s="108"/>
      <c r="C710" s="114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</row>
    <row r="711" ht="15.75" customHeight="1">
      <c r="A711" s="111"/>
      <c r="B711" s="112"/>
      <c r="C711" s="113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</row>
    <row r="712" ht="15.75" customHeight="1">
      <c r="A712" s="107"/>
      <c r="B712" s="108"/>
      <c r="C712" s="114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</row>
    <row r="713" ht="15.75" customHeight="1">
      <c r="A713" s="111"/>
      <c r="B713" s="112"/>
      <c r="C713" s="113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</row>
    <row r="714" ht="15.75" customHeight="1">
      <c r="A714" s="107"/>
      <c r="B714" s="108"/>
      <c r="C714" s="114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</row>
    <row r="715" ht="15.75" customHeight="1">
      <c r="A715" s="111"/>
      <c r="B715" s="112"/>
      <c r="C715" s="113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</row>
    <row r="716" ht="15.75" customHeight="1">
      <c r="A716" s="107"/>
      <c r="B716" s="108"/>
      <c r="C716" s="114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</row>
    <row r="717" ht="15.75" customHeight="1">
      <c r="A717" s="111"/>
      <c r="B717" s="112"/>
      <c r="C717" s="113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</row>
    <row r="718" ht="15.75" customHeight="1">
      <c r="A718" s="107"/>
      <c r="B718" s="108"/>
      <c r="C718" s="114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</row>
    <row r="719" ht="15.75" customHeight="1">
      <c r="A719" s="111"/>
      <c r="B719" s="112"/>
      <c r="C719" s="113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</row>
    <row r="720" ht="15.75" customHeight="1">
      <c r="A720" s="107"/>
      <c r="B720" s="108"/>
      <c r="C720" s="114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</row>
    <row r="721" ht="15.75" customHeight="1">
      <c r="A721" s="111"/>
      <c r="B721" s="112"/>
      <c r="C721" s="113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</row>
    <row r="722" ht="15.75" customHeight="1">
      <c r="A722" s="107"/>
      <c r="B722" s="108"/>
      <c r="C722" s="114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</row>
    <row r="723" ht="15.75" customHeight="1">
      <c r="A723" s="111"/>
      <c r="B723" s="112"/>
      <c r="C723" s="113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</row>
    <row r="724" ht="15.75" customHeight="1">
      <c r="A724" s="107"/>
      <c r="B724" s="108"/>
      <c r="C724" s="114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</row>
    <row r="725" ht="15.75" customHeight="1">
      <c r="A725" s="111"/>
      <c r="B725" s="112"/>
      <c r="C725" s="113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</row>
    <row r="726" ht="15.75" customHeight="1">
      <c r="A726" s="107"/>
      <c r="B726" s="108"/>
      <c r="C726" s="114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</row>
    <row r="727" ht="15.75" customHeight="1">
      <c r="A727" s="111"/>
      <c r="B727" s="112"/>
      <c r="C727" s="113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</row>
    <row r="728" ht="15.75" customHeight="1">
      <c r="A728" s="107"/>
      <c r="B728" s="108"/>
      <c r="C728" s="114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</row>
    <row r="729" ht="15.75" customHeight="1">
      <c r="A729" s="111"/>
      <c r="B729" s="112"/>
      <c r="C729" s="113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</row>
    <row r="730" ht="15.75" customHeight="1">
      <c r="A730" s="107"/>
      <c r="B730" s="108"/>
      <c r="C730" s="114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</row>
    <row r="731" ht="15.75" customHeight="1">
      <c r="A731" s="111"/>
      <c r="B731" s="112"/>
      <c r="C731" s="113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</row>
    <row r="732" ht="15.75" customHeight="1">
      <c r="A732" s="107"/>
      <c r="B732" s="108"/>
      <c r="C732" s="114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</row>
    <row r="733" ht="15.75" customHeight="1">
      <c r="A733" s="111"/>
      <c r="B733" s="112"/>
      <c r="C733" s="113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</row>
    <row r="734" ht="15.75" customHeight="1">
      <c r="A734" s="107"/>
      <c r="B734" s="108"/>
      <c r="C734" s="114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</row>
    <row r="735" ht="15.75" customHeight="1">
      <c r="A735" s="111"/>
      <c r="B735" s="112"/>
      <c r="C735" s="113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</row>
    <row r="736" ht="15.75" customHeight="1">
      <c r="A736" s="107"/>
      <c r="B736" s="108"/>
      <c r="C736" s="114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</row>
    <row r="737" ht="15.75" customHeight="1">
      <c r="A737" s="111"/>
      <c r="B737" s="112"/>
      <c r="C737" s="113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</row>
    <row r="738" ht="15.75" customHeight="1">
      <c r="A738" s="107"/>
      <c r="B738" s="108"/>
      <c r="C738" s="114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</row>
    <row r="739" ht="15.75" customHeight="1">
      <c r="A739" s="111"/>
      <c r="B739" s="112"/>
      <c r="C739" s="113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</row>
    <row r="740" ht="15.75" customHeight="1">
      <c r="A740" s="107"/>
      <c r="B740" s="108"/>
      <c r="C740" s="114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</row>
    <row r="741" ht="15.75" customHeight="1">
      <c r="A741" s="111"/>
      <c r="B741" s="112"/>
      <c r="C741" s="113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</row>
    <row r="742" ht="15.75" customHeight="1">
      <c r="A742" s="107"/>
      <c r="B742" s="108"/>
      <c r="C742" s="114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</row>
    <row r="743" ht="15.75" customHeight="1">
      <c r="A743" s="111"/>
      <c r="B743" s="112"/>
      <c r="C743" s="113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</row>
    <row r="744" ht="15.75" customHeight="1">
      <c r="A744" s="107"/>
      <c r="B744" s="108"/>
      <c r="C744" s="114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</row>
    <row r="745" ht="15.75" customHeight="1">
      <c r="A745" s="111"/>
      <c r="B745" s="112"/>
      <c r="C745" s="113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</row>
    <row r="746" ht="15.75" customHeight="1">
      <c r="A746" s="107"/>
      <c r="B746" s="108"/>
      <c r="C746" s="114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</row>
    <row r="747" ht="15.75" customHeight="1">
      <c r="A747" s="111"/>
      <c r="B747" s="112"/>
      <c r="C747" s="113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</row>
    <row r="748" ht="15.75" customHeight="1">
      <c r="A748" s="107"/>
      <c r="B748" s="108"/>
      <c r="C748" s="114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</row>
    <row r="749" ht="15.75" customHeight="1">
      <c r="A749" s="111"/>
      <c r="B749" s="112"/>
      <c r="C749" s="113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</row>
    <row r="750" ht="15.75" customHeight="1">
      <c r="A750" s="107"/>
      <c r="B750" s="108"/>
      <c r="C750" s="114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</row>
    <row r="751" ht="15.75" customHeight="1">
      <c r="A751" s="111"/>
      <c r="B751" s="112"/>
      <c r="C751" s="113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</row>
    <row r="752" ht="15.75" customHeight="1">
      <c r="A752" s="107"/>
      <c r="B752" s="108"/>
      <c r="C752" s="114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</row>
    <row r="753" ht="15.75" customHeight="1">
      <c r="A753" s="111"/>
      <c r="B753" s="112"/>
      <c r="C753" s="113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</row>
    <row r="754" ht="15.75" customHeight="1">
      <c r="A754" s="107"/>
      <c r="B754" s="108"/>
      <c r="C754" s="114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</row>
    <row r="755" ht="15.75" customHeight="1">
      <c r="A755" s="111"/>
      <c r="B755" s="112"/>
      <c r="C755" s="113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</row>
    <row r="756" ht="15.75" customHeight="1">
      <c r="A756" s="107"/>
      <c r="B756" s="108"/>
      <c r="C756" s="114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</row>
    <row r="757" ht="15.75" customHeight="1">
      <c r="A757" s="111"/>
      <c r="B757" s="112"/>
      <c r="C757" s="113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</row>
    <row r="758" ht="15.75" customHeight="1">
      <c r="A758" s="107"/>
      <c r="B758" s="108"/>
      <c r="C758" s="114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</row>
    <row r="759" ht="15.75" customHeight="1">
      <c r="A759" s="111"/>
      <c r="B759" s="112"/>
      <c r="C759" s="113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</row>
    <row r="760" ht="15.75" customHeight="1">
      <c r="A760" s="107"/>
      <c r="B760" s="108"/>
      <c r="C760" s="114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</row>
    <row r="761" ht="15.75" customHeight="1">
      <c r="A761" s="111"/>
      <c r="B761" s="112"/>
      <c r="C761" s="113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</row>
    <row r="762" ht="15.75" customHeight="1">
      <c r="A762" s="107"/>
      <c r="B762" s="108"/>
      <c r="C762" s="114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</row>
    <row r="763" ht="15.75" customHeight="1">
      <c r="A763" s="111"/>
      <c r="B763" s="112"/>
      <c r="C763" s="113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</row>
    <row r="764" ht="15.75" customHeight="1">
      <c r="A764" s="107"/>
      <c r="B764" s="108"/>
      <c r="C764" s="114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</row>
    <row r="765" ht="15.75" customHeight="1">
      <c r="A765" s="111"/>
      <c r="B765" s="112"/>
      <c r="C765" s="113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</row>
    <row r="766" ht="15.75" customHeight="1">
      <c r="A766" s="107"/>
      <c r="B766" s="108"/>
      <c r="C766" s="114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</row>
    <row r="767" ht="15.75" customHeight="1">
      <c r="A767" s="111"/>
      <c r="B767" s="112"/>
      <c r="C767" s="113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</row>
    <row r="768" ht="15.75" customHeight="1">
      <c r="A768" s="107"/>
      <c r="B768" s="108"/>
      <c r="C768" s="114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</row>
    <row r="769" ht="15.75" customHeight="1">
      <c r="A769" s="111"/>
      <c r="B769" s="112"/>
      <c r="C769" s="113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</row>
    <row r="770" ht="15.75" customHeight="1">
      <c r="A770" s="107"/>
      <c r="B770" s="108"/>
      <c r="C770" s="114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</row>
    <row r="771" ht="15.75" customHeight="1">
      <c r="A771" s="111"/>
      <c r="B771" s="112"/>
      <c r="C771" s="113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</row>
    <row r="772" ht="15.75" customHeight="1">
      <c r="A772" s="107"/>
      <c r="B772" s="108"/>
      <c r="C772" s="114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</row>
    <row r="773" ht="15.75" customHeight="1">
      <c r="A773" s="111"/>
      <c r="B773" s="112"/>
      <c r="C773" s="113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</row>
    <row r="774" ht="15.75" customHeight="1">
      <c r="A774" s="107"/>
      <c r="B774" s="108"/>
      <c r="C774" s="114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</row>
    <row r="775" ht="15.75" customHeight="1">
      <c r="A775" s="111"/>
      <c r="B775" s="112"/>
      <c r="C775" s="113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</row>
    <row r="776" ht="15.75" customHeight="1">
      <c r="A776" s="107"/>
      <c r="B776" s="108"/>
      <c r="C776" s="114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</row>
    <row r="777" ht="15.75" customHeight="1">
      <c r="A777" s="111"/>
      <c r="B777" s="112"/>
      <c r="C777" s="113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</row>
    <row r="778" ht="15.75" customHeight="1">
      <c r="A778" s="107"/>
      <c r="B778" s="108"/>
      <c r="C778" s="114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</row>
    <row r="779" ht="15.75" customHeight="1">
      <c r="A779" s="111"/>
      <c r="B779" s="112"/>
      <c r="C779" s="113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</row>
    <row r="780" ht="15.75" customHeight="1">
      <c r="A780" s="107"/>
      <c r="B780" s="108"/>
      <c r="C780" s="114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</row>
    <row r="781" ht="15.75" customHeight="1">
      <c r="A781" s="111"/>
      <c r="B781" s="112"/>
      <c r="C781" s="113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</row>
    <row r="782" ht="15.75" customHeight="1">
      <c r="A782" s="107"/>
      <c r="B782" s="108"/>
      <c r="C782" s="114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</row>
    <row r="783" ht="15.75" customHeight="1">
      <c r="A783" s="111"/>
      <c r="B783" s="112"/>
      <c r="C783" s="113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</row>
    <row r="784" ht="15.75" customHeight="1">
      <c r="A784" s="107"/>
      <c r="B784" s="108"/>
      <c r="C784" s="114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</row>
    <row r="785" ht="15.75" customHeight="1">
      <c r="A785" s="111"/>
      <c r="B785" s="112"/>
      <c r="C785" s="113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</row>
    <row r="786" ht="15.75" customHeight="1">
      <c r="A786" s="107"/>
      <c r="B786" s="108"/>
      <c r="C786" s="114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</row>
    <row r="787" ht="15.75" customHeight="1">
      <c r="A787" s="111"/>
      <c r="B787" s="112"/>
      <c r="C787" s="113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</row>
    <row r="788" ht="15.75" customHeight="1">
      <c r="A788" s="107"/>
      <c r="B788" s="108"/>
      <c r="C788" s="114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</row>
    <row r="789" ht="15.75" customHeight="1">
      <c r="A789" s="111"/>
      <c r="B789" s="112"/>
      <c r="C789" s="113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</row>
    <row r="790" ht="15.75" customHeight="1">
      <c r="A790" s="107"/>
      <c r="B790" s="108"/>
      <c r="C790" s="114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</row>
    <row r="791" ht="15.75" customHeight="1">
      <c r="A791" s="111"/>
      <c r="B791" s="112"/>
      <c r="C791" s="113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</row>
    <row r="792" ht="15.75" customHeight="1">
      <c r="A792" s="107"/>
      <c r="B792" s="108"/>
      <c r="C792" s="114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</row>
    <row r="793" ht="15.75" customHeight="1">
      <c r="A793" s="111"/>
      <c r="B793" s="112"/>
      <c r="C793" s="113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</row>
    <row r="794" ht="15.75" customHeight="1">
      <c r="A794" s="107"/>
      <c r="B794" s="108"/>
      <c r="C794" s="114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</row>
    <row r="795" ht="15.75" customHeight="1">
      <c r="A795" s="111"/>
      <c r="B795" s="112"/>
      <c r="C795" s="113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</row>
    <row r="796" ht="15.75" customHeight="1">
      <c r="A796" s="107"/>
      <c r="B796" s="108"/>
      <c r="C796" s="114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</row>
    <row r="797" ht="15.75" customHeight="1">
      <c r="A797" s="111"/>
      <c r="B797" s="112"/>
      <c r="C797" s="113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</row>
    <row r="798" ht="15.75" customHeight="1">
      <c r="A798" s="107"/>
      <c r="B798" s="108"/>
      <c r="C798" s="114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</row>
    <row r="799" ht="15.75" customHeight="1">
      <c r="A799" s="111"/>
      <c r="B799" s="112"/>
      <c r="C799" s="113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</row>
    <row r="800" ht="15.75" customHeight="1">
      <c r="A800" s="107"/>
      <c r="B800" s="108"/>
      <c r="C800" s="114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</row>
    <row r="801" ht="15.75" customHeight="1">
      <c r="A801" s="111"/>
      <c r="B801" s="112"/>
      <c r="C801" s="113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</row>
    <row r="802" ht="15.75" customHeight="1">
      <c r="A802" s="107"/>
      <c r="B802" s="108"/>
      <c r="C802" s="114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</row>
    <row r="803" ht="15.75" customHeight="1">
      <c r="A803" s="111"/>
      <c r="B803" s="112"/>
      <c r="C803" s="113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</row>
    <row r="804" ht="15.75" customHeight="1">
      <c r="A804" s="107"/>
      <c r="B804" s="108"/>
      <c r="C804" s="114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</row>
    <row r="805" ht="15.75" customHeight="1">
      <c r="A805" s="111"/>
      <c r="B805" s="112"/>
      <c r="C805" s="113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</row>
    <row r="806" ht="15.75" customHeight="1">
      <c r="A806" s="107"/>
      <c r="B806" s="108"/>
      <c r="C806" s="114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</row>
    <row r="807" ht="15.75" customHeight="1">
      <c r="A807" s="111"/>
      <c r="B807" s="112"/>
      <c r="C807" s="113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</row>
    <row r="808" ht="15.75" customHeight="1">
      <c r="A808" s="107"/>
      <c r="B808" s="108"/>
      <c r="C808" s="114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</row>
    <row r="809" ht="15.75" customHeight="1">
      <c r="A809" s="111"/>
      <c r="B809" s="112"/>
      <c r="C809" s="113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</row>
    <row r="810" ht="15.75" customHeight="1">
      <c r="A810" s="107"/>
      <c r="B810" s="108"/>
      <c r="C810" s="114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</row>
    <row r="811" ht="15.75" customHeight="1">
      <c r="A811" s="111"/>
      <c r="B811" s="112"/>
      <c r="C811" s="113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</row>
    <row r="812" ht="15.75" customHeight="1">
      <c r="A812" s="107"/>
      <c r="B812" s="108"/>
      <c r="C812" s="114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</row>
    <row r="813" ht="15.75" customHeight="1">
      <c r="A813" s="111"/>
      <c r="B813" s="112"/>
      <c r="C813" s="113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</row>
    <row r="814" ht="15.75" customHeight="1">
      <c r="A814" s="107"/>
      <c r="B814" s="108"/>
      <c r="C814" s="114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</row>
    <row r="815" ht="15.75" customHeight="1">
      <c r="A815" s="111"/>
      <c r="B815" s="112"/>
      <c r="C815" s="113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</row>
    <row r="816" ht="15.75" customHeight="1">
      <c r="A816" s="107"/>
      <c r="B816" s="108"/>
      <c r="C816" s="114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</row>
    <row r="817" ht="15.75" customHeight="1">
      <c r="A817" s="111"/>
      <c r="B817" s="112"/>
      <c r="C817" s="113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</row>
    <row r="818" ht="15.75" customHeight="1">
      <c r="A818" s="107"/>
      <c r="B818" s="108"/>
      <c r="C818" s="114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</row>
    <row r="819" ht="15.75" customHeight="1">
      <c r="A819" s="111"/>
      <c r="B819" s="112"/>
      <c r="C819" s="113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</row>
    <row r="820" ht="15.75" customHeight="1">
      <c r="A820" s="107"/>
      <c r="B820" s="108"/>
      <c r="C820" s="114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</row>
    <row r="821" ht="15.75" customHeight="1">
      <c r="A821" s="111"/>
      <c r="B821" s="112"/>
      <c r="C821" s="113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</row>
    <row r="822" ht="15.75" customHeight="1">
      <c r="A822" s="107"/>
      <c r="B822" s="108"/>
      <c r="C822" s="114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</row>
    <row r="823" ht="15.75" customHeight="1">
      <c r="A823" s="111"/>
      <c r="B823" s="112"/>
      <c r="C823" s="113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</row>
    <row r="824" ht="15.75" customHeight="1">
      <c r="A824" s="107"/>
      <c r="B824" s="108"/>
      <c r="C824" s="114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</row>
    <row r="825" ht="15.75" customHeight="1">
      <c r="A825" s="111"/>
      <c r="B825" s="112"/>
      <c r="C825" s="113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</row>
    <row r="826" ht="15.75" customHeight="1">
      <c r="A826" s="107"/>
      <c r="B826" s="108"/>
      <c r="C826" s="114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</row>
    <row r="827" ht="15.75" customHeight="1">
      <c r="A827" s="111"/>
      <c r="B827" s="112"/>
      <c r="C827" s="113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</row>
    <row r="828" ht="15.75" customHeight="1">
      <c r="A828" s="107"/>
      <c r="B828" s="108"/>
      <c r="C828" s="114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</row>
    <row r="829" ht="15.75" customHeight="1">
      <c r="A829" s="111"/>
      <c r="B829" s="112"/>
      <c r="C829" s="113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</row>
    <row r="830" ht="15.75" customHeight="1">
      <c r="A830" s="107"/>
      <c r="B830" s="108"/>
      <c r="C830" s="114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</row>
    <row r="831" ht="15.75" customHeight="1">
      <c r="A831" s="111"/>
      <c r="B831" s="112"/>
      <c r="C831" s="113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</row>
    <row r="832" ht="15.75" customHeight="1">
      <c r="A832" s="107"/>
      <c r="B832" s="108"/>
      <c r="C832" s="114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</row>
    <row r="833" ht="15.75" customHeight="1">
      <c r="A833" s="111"/>
      <c r="B833" s="112"/>
      <c r="C833" s="113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</row>
    <row r="834" ht="15.75" customHeight="1">
      <c r="A834" s="107"/>
      <c r="B834" s="108"/>
      <c r="C834" s="114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</row>
    <row r="835" ht="15.75" customHeight="1">
      <c r="A835" s="111"/>
      <c r="B835" s="112"/>
      <c r="C835" s="113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</row>
    <row r="836" ht="15.75" customHeight="1">
      <c r="A836" s="107"/>
      <c r="B836" s="108"/>
      <c r="C836" s="114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</row>
    <row r="837" ht="15.75" customHeight="1">
      <c r="A837" s="111"/>
      <c r="B837" s="112"/>
      <c r="C837" s="113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</row>
    <row r="838" ht="15.75" customHeight="1">
      <c r="A838" s="107"/>
      <c r="B838" s="108"/>
      <c r="C838" s="114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</row>
    <row r="839" ht="15.75" customHeight="1">
      <c r="A839" s="111"/>
      <c r="B839" s="112"/>
      <c r="C839" s="113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</row>
    <row r="840" ht="15.75" customHeight="1">
      <c r="A840" s="107"/>
      <c r="B840" s="108"/>
      <c r="C840" s="114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</row>
    <row r="841" ht="15.75" customHeight="1">
      <c r="A841" s="111"/>
      <c r="B841" s="112"/>
      <c r="C841" s="113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</row>
    <row r="842" ht="15.75" customHeight="1">
      <c r="A842" s="107"/>
      <c r="B842" s="108"/>
      <c r="C842" s="114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</row>
    <row r="843" ht="15.75" customHeight="1">
      <c r="A843" s="111"/>
      <c r="B843" s="112"/>
      <c r="C843" s="113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</row>
    <row r="844" ht="15.75" customHeight="1">
      <c r="A844" s="107"/>
      <c r="B844" s="108"/>
      <c r="C844" s="114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</row>
    <row r="845" ht="15.75" customHeight="1">
      <c r="A845" s="111"/>
      <c r="B845" s="112"/>
      <c r="C845" s="113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</row>
    <row r="846" ht="15.75" customHeight="1">
      <c r="A846" s="107"/>
      <c r="B846" s="108"/>
      <c r="C846" s="114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</row>
    <row r="847" ht="15.75" customHeight="1">
      <c r="A847" s="111"/>
      <c r="B847" s="112"/>
      <c r="C847" s="113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</row>
    <row r="848" ht="15.75" customHeight="1">
      <c r="A848" s="107"/>
      <c r="B848" s="108"/>
      <c r="C848" s="114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</row>
    <row r="849" ht="15.75" customHeight="1">
      <c r="A849" s="111"/>
      <c r="B849" s="112"/>
      <c r="C849" s="113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</row>
    <row r="850" ht="15.75" customHeight="1">
      <c r="A850" s="107"/>
      <c r="B850" s="108"/>
      <c r="C850" s="114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</row>
    <row r="851" ht="15.75" customHeight="1">
      <c r="A851" s="111"/>
      <c r="B851" s="112"/>
      <c r="C851" s="113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</row>
    <row r="852" ht="15.75" customHeight="1">
      <c r="A852" s="107"/>
      <c r="B852" s="108"/>
      <c r="C852" s="114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</row>
    <row r="853" ht="15.75" customHeight="1">
      <c r="A853" s="111"/>
      <c r="B853" s="112"/>
      <c r="C853" s="113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</row>
    <row r="854" ht="15.75" customHeight="1">
      <c r="A854" s="107"/>
      <c r="B854" s="108"/>
      <c r="C854" s="114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</row>
    <row r="855" ht="15.75" customHeight="1">
      <c r="A855" s="111"/>
      <c r="B855" s="112"/>
      <c r="C855" s="113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</row>
    <row r="856" ht="15.75" customHeight="1">
      <c r="A856" s="107"/>
      <c r="B856" s="108"/>
      <c r="C856" s="114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</row>
    <row r="857" ht="15.75" customHeight="1">
      <c r="A857" s="111"/>
      <c r="B857" s="112"/>
      <c r="C857" s="113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</row>
    <row r="858" ht="15.75" customHeight="1">
      <c r="A858" s="107"/>
      <c r="B858" s="108"/>
      <c r="C858" s="114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</row>
    <row r="859" ht="15.75" customHeight="1">
      <c r="A859" s="111"/>
      <c r="B859" s="112"/>
      <c r="C859" s="113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</row>
    <row r="860" ht="15.75" customHeight="1">
      <c r="A860" s="107"/>
      <c r="B860" s="108"/>
      <c r="C860" s="114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</row>
    <row r="861" ht="15.75" customHeight="1">
      <c r="A861" s="111"/>
      <c r="B861" s="112"/>
      <c r="C861" s="113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</row>
    <row r="862" ht="15.75" customHeight="1">
      <c r="A862" s="107"/>
      <c r="B862" s="108"/>
      <c r="C862" s="114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</row>
    <row r="863" ht="15.75" customHeight="1">
      <c r="A863" s="111"/>
      <c r="B863" s="112"/>
      <c r="C863" s="113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</row>
    <row r="864" ht="15.75" customHeight="1">
      <c r="A864" s="107"/>
      <c r="B864" s="108"/>
      <c r="C864" s="114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</row>
    <row r="865" ht="15.75" customHeight="1">
      <c r="A865" s="111"/>
      <c r="B865" s="112"/>
      <c r="C865" s="113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</row>
    <row r="866" ht="15.75" customHeight="1">
      <c r="A866" s="107"/>
      <c r="B866" s="108"/>
      <c r="C866" s="114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</row>
    <row r="867" ht="15.75" customHeight="1">
      <c r="A867" s="111"/>
      <c r="B867" s="112"/>
      <c r="C867" s="113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</row>
    <row r="868" ht="15.75" customHeight="1">
      <c r="A868" s="107"/>
      <c r="B868" s="108"/>
      <c r="C868" s="114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</row>
    <row r="869" ht="15.75" customHeight="1">
      <c r="A869" s="111"/>
      <c r="B869" s="112"/>
      <c r="C869" s="113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</row>
    <row r="870" ht="15.75" customHeight="1">
      <c r="A870" s="107"/>
      <c r="B870" s="108"/>
      <c r="C870" s="114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</row>
    <row r="871" ht="15.75" customHeight="1">
      <c r="A871" s="111"/>
      <c r="B871" s="112"/>
      <c r="C871" s="113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</row>
    <row r="872" ht="15.75" customHeight="1">
      <c r="A872" s="107"/>
      <c r="B872" s="108"/>
      <c r="C872" s="114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</row>
    <row r="873" ht="15.75" customHeight="1">
      <c r="A873" s="111"/>
      <c r="B873" s="112"/>
      <c r="C873" s="113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</row>
    <row r="874" ht="15.75" customHeight="1">
      <c r="A874" s="107"/>
      <c r="B874" s="108"/>
      <c r="C874" s="114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</row>
    <row r="875" ht="15.75" customHeight="1">
      <c r="A875" s="111"/>
      <c r="B875" s="112"/>
      <c r="C875" s="113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</row>
    <row r="876" ht="15.75" customHeight="1">
      <c r="A876" s="107"/>
      <c r="B876" s="108"/>
      <c r="C876" s="114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</row>
    <row r="877" ht="15.75" customHeight="1">
      <c r="A877" s="111"/>
      <c r="B877" s="112"/>
      <c r="C877" s="113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</row>
    <row r="878" ht="15.75" customHeight="1">
      <c r="A878" s="107"/>
      <c r="B878" s="108"/>
      <c r="C878" s="114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</row>
    <row r="879" ht="15.75" customHeight="1">
      <c r="A879" s="111"/>
      <c r="B879" s="112"/>
      <c r="C879" s="113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</row>
    <row r="880" ht="15.75" customHeight="1">
      <c r="A880" s="107"/>
      <c r="B880" s="108"/>
      <c r="C880" s="114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</row>
    <row r="881" ht="15.75" customHeight="1">
      <c r="A881" s="111"/>
      <c r="B881" s="112"/>
      <c r="C881" s="113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</row>
    <row r="882" ht="15.75" customHeight="1">
      <c r="A882" s="107"/>
      <c r="B882" s="108"/>
      <c r="C882" s="114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</row>
    <row r="883" ht="15.75" customHeight="1">
      <c r="A883" s="111"/>
      <c r="B883" s="112"/>
      <c r="C883" s="113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</row>
    <row r="884" ht="15.75" customHeight="1">
      <c r="A884" s="107"/>
      <c r="B884" s="108"/>
      <c r="C884" s="114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</row>
    <row r="885" ht="15.75" customHeight="1">
      <c r="A885" s="111"/>
      <c r="B885" s="112"/>
      <c r="C885" s="113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</row>
    <row r="886" ht="15.75" customHeight="1">
      <c r="A886" s="107"/>
      <c r="B886" s="108"/>
      <c r="C886" s="114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</row>
    <row r="887" ht="15.75" customHeight="1">
      <c r="A887" s="111"/>
      <c r="B887" s="112"/>
      <c r="C887" s="113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</row>
    <row r="888" ht="15.75" customHeight="1">
      <c r="A888" s="107"/>
      <c r="B888" s="108"/>
      <c r="C888" s="114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</row>
    <row r="889" ht="15.75" customHeight="1">
      <c r="A889" s="111"/>
      <c r="B889" s="112"/>
      <c r="C889" s="113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</row>
    <row r="890" ht="15.75" customHeight="1">
      <c r="A890" s="107"/>
      <c r="B890" s="108"/>
      <c r="C890" s="114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</row>
    <row r="891" ht="15.75" customHeight="1">
      <c r="A891" s="111"/>
      <c r="B891" s="112"/>
      <c r="C891" s="113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</row>
    <row r="892" ht="15.75" customHeight="1">
      <c r="A892" s="107"/>
      <c r="B892" s="108"/>
      <c r="C892" s="114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</row>
    <row r="893" ht="15.75" customHeight="1">
      <c r="A893" s="111"/>
      <c r="B893" s="112"/>
      <c r="C893" s="113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</row>
    <row r="894" ht="15.75" customHeight="1">
      <c r="A894" s="107"/>
      <c r="B894" s="108"/>
      <c r="C894" s="114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</row>
    <row r="895" ht="15.75" customHeight="1">
      <c r="A895" s="111"/>
      <c r="B895" s="112"/>
      <c r="C895" s="113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</row>
    <row r="896" ht="15.75" customHeight="1">
      <c r="A896" s="107"/>
      <c r="B896" s="108"/>
      <c r="C896" s="114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</row>
    <row r="897" ht="15.75" customHeight="1">
      <c r="A897" s="111"/>
      <c r="B897" s="112"/>
      <c r="C897" s="113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</row>
    <row r="898" ht="15.75" customHeight="1">
      <c r="A898" s="107"/>
      <c r="B898" s="108"/>
      <c r="C898" s="114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</row>
    <row r="899" ht="15.75" customHeight="1">
      <c r="A899" s="111"/>
      <c r="B899" s="112"/>
      <c r="C899" s="113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</row>
    <row r="900" ht="15.75" customHeight="1">
      <c r="A900" s="107"/>
      <c r="B900" s="108"/>
      <c r="C900" s="114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</row>
    <row r="901" ht="15.75" customHeight="1">
      <c r="A901" s="111"/>
      <c r="B901" s="112"/>
      <c r="C901" s="113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</row>
    <row r="902" ht="15.75" customHeight="1">
      <c r="A902" s="107"/>
      <c r="B902" s="108"/>
      <c r="C902" s="114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</row>
    <row r="903" ht="15.75" customHeight="1">
      <c r="A903" s="111"/>
      <c r="B903" s="112"/>
      <c r="C903" s="113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</row>
    <row r="904" ht="15.75" customHeight="1">
      <c r="A904" s="107"/>
      <c r="B904" s="108"/>
      <c r="C904" s="114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</row>
    <row r="905" ht="15.75" customHeight="1">
      <c r="A905" s="111"/>
      <c r="B905" s="112"/>
      <c r="C905" s="113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</row>
    <row r="906" ht="15.75" customHeight="1">
      <c r="A906" s="107"/>
      <c r="B906" s="108"/>
      <c r="C906" s="114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</row>
    <row r="907" ht="15.75" customHeight="1">
      <c r="A907" s="111"/>
      <c r="B907" s="112"/>
      <c r="C907" s="113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</row>
    <row r="908" ht="15.75" customHeight="1">
      <c r="A908" s="107"/>
      <c r="B908" s="108"/>
      <c r="C908" s="114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</row>
    <row r="909" ht="15.75" customHeight="1">
      <c r="A909" s="111"/>
      <c r="B909" s="112"/>
      <c r="C909" s="113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</row>
    <row r="910" ht="15.75" customHeight="1">
      <c r="A910" s="107"/>
      <c r="B910" s="108"/>
      <c r="C910" s="114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</row>
    <row r="911" ht="15.75" customHeight="1">
      <c r="A911" s="111"/>
      <c r="B911" s="112"/>
      <c r="C911" s="113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</row>
    <row r="912" ht="15.75" customHeight="1">
      <c r="A912" s="107"/>
      <c r="B912" s="108"/>
      <c r="C912" s="114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</row>
    <row r="913" ht="15.75" customHeight="1">
      <c r="A913" s="111"/>
      <c r="B913" s="112"/>
      <c r="C913" s="113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</row>
    <row r="914" ht="15.75" customHeight="1">
      <c r="A914" s="107"/>
      <c r="B914" s="108"/>
      <c r="C914" s="114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</row>
    <row r="915" ht="15.75" customHeight="1">
      <c r="A915" s="111"/>
      <c r="B915" s="112"/>
      <c r="C915" s="113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</row>
    <row r="916" ht="15.75" customHeight="1">
      <c r="A916" s="107"/>
      <c r="B916" s="108"/>
      <c r="C916" s="114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</row>
    <row r="917" ht="15.75" customHeight="1">
      <c r="A917" s="111"/>
      <c r="B917" s="112"/>
      <c r="C917" s="113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</row>
    <row r="918" ht="15.75" customHeight="1">
      <c r="A918" s="107"/>
      <c r="B918" s="108"/>
      <c r="C918" s="114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</row>
    <row r="919" ht="15.75" customHeight="1">
      <c r="A919" s="111"/>
      <c r="B919" s="112"/>
      <c r="C919" s="113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</row>
    <row r="920" ht="15.75" customHeight="1">
      <c r="A920" s="107"/>
      <c r="B920" s="108"/>
      <c r="C920" s="114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</row>
    <row r="921" ht="15.75" customHeight="1">
      <c r="A921" s="111"/>
      <c r="B921" s="112"/>
      <c r="C921" s="113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</row>
    <row r="922" ht="15.75" customHeight="1">
      <c r="A922" s="107"/>
      <c r="B922" s="108"/>
      <c r="C922" s="114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</row>
    <row r="923" ht="15.75" customHeight="1">
      <c r="A923" s="111"/>
      <c r="B923" s="112"/>
      <c r="C923" s="113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</row>
    <row r="924" ht="15.75" customHeight="1">
      <c r="A924" s="107"/>
      <c r="B924" s="108"/>
      <c r="C924" s="114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</row>
    <row r="925" ht="15.75" customHeight="1">
      <c r="A925" s="111"/>
      <c r="B925" s="112"/>
      <c r="C925" s="113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</row>
    <row r="926" ht="15.75" customHeight="1">
      <c r="A926" s="107"/>
      <c r="B926" s="108"/>
      <c r="C926" s="114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</row>
    <row r="927" ht="15.75" customHeight="1">
      <c r="A927" s="111"/>
      <c r="B927" s="112"/>
      <c r="C927" s="113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</row>
    <row r="928" ht="15.75" customHeight="1">
      <c r="A928" s="107"/>
      <c r="B928" s="108"/>
      <c r="C928" s="114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</row>
    <row r="929" ht="15.75" customHeight="1">
      <c r="A929" s="111"/>
      <c r="B929" s="112"/>
      <c r="C929" s="113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</row>
    <row r="930" ht="15.75" customHeight="1">
      <c r="A930" s="107"/>
      <c r="B930" s="108"/>
      <c r="C930" s="114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</row>
    <row r="931" ht="15.75" customHeight="1">
      <c r="A931" s="111"/>
      <c r="B931" s="112"/>
      <c r="C931" s="113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</row>
    <row r="932" ht="15.75" customHeight="1">
      <c r="A932" s="107"/>
      <c r="B932" s="108"/>
      <c r="C932" s="114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</row>
    <row r="933" ht="15.75" customHeight="1">
      <c r="A933" s="111"/>
      <c r="B933" s="112"/>
      <c r="C933" s="113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</row>
    <row r="934" ht="15.75" customHeight="1">
      <c r="A934" s="107"/>
      <c r="B934" s="108"/>
      <c r="C934" s="114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</row>
    <row r="935" ht="15.75" customHeight="1">
      <c r="A935" s="111"/>
      <c r="B935" s="112"/>
      <c r="C935" s="113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</row>
    <row r="936" ht="15.75" customHeight="1">
      <c r="A936" s="107"/>
      <c r="B936" s="108"/>
      <c r="C936" s="114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</row>
    <row r="937" ht="15.75" customHeight="1">
      <c r="A937" s="111"/>
      <c r="B937" s="112"/>
      <c r="C937" s="113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</row>
    <row r="938" ht="15.75" customHeight="1">
      <c r="A938" s="107"/>
      <c r="B938" s="108"/>
      <c r="C938" s="114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</row>
    <row r="939" ht="15.75" customHeight="1">
      <c r="A939" s="111"/>
      <c r="B939" s="112"/>
      <c r="C939" s="113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</row>
    <row r="940" ht="15.75" customHeight="1">
      <c r="A940" s="107"/>
      <c r="B940" s="108"/>
      <c r="C940" s="114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</row>
    <row r="941" ht="15.75" customHeight="1">
      <c r="A941" s="111"/>
      <c r="B941" s="112"/>
      <c r="C941" s="113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</row>
    <row r="942" ht="15.75" customHeight="1">
      <c r="A942" s="107"/>
      <c r="B942" s="108"/>
      <c r="C942" s="114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</row>
    <row r="943" ht="15.75" customHeight="1">
      <c r="A943" s="111"/>
      <c r="B943" s="112"/>
      <c r="C943" s="113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</row>
    <row r="944" ht="15.75" customHeight="1">
      <c r="A944" s="107"/>
      <c r="B944" s="108"/>
      <c r="C944" s="114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</row>
    <row r="945" ht="15.75" customHeight="1">
      <c r="A945" s="111"/>
      <c r="B945" s="112"/>
      <c r="C945" s="113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</row>
    <row r="946" ht="15.75" customHeight="1">
      <c r="A946" s="107"/>
      <c r="B946" s="108"/>
      <c r="C946" s="114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</row>
    <row r="947" ht="15.75" customHeight="1">
      <c r="A947" s="111"/>
      <c r="B947" s="112"/>
      <c r="C947" s="113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</row>
    <row r="948" ht="15.75" customHeight="1">
      <c r="A948" s="107"/>
      <c r="B948" s="108"/>
      <c r="C948" s="114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</row>
    <row r="949" ht="15.75" customHeight="1">
      <c r="A949" s="111"/>
      <c r="B949" s="112"/>
      <c r="C949" s="113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</row>
    <row r="950" ht="15.75" customHeight="1">
      <c r="A950" s="107"/>
      <c r="B950" s="108"/>
      <c r="C950" s="114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</row>
    <row r="951" ht="15.75" customHeight="1">
      <c r="A951" s="111"/>
      <c r="B951" s="112"/>
      <c r="C951" s="113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</row>
    <row r="952" ht="15.75" customHeight="1">
      <c r="A952" s="107"/>
      <c r="B952" s="108"/>
      <c r="C952" s="114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</row>
    <row r="953" ht="15.75" customHeight="1">
      <c r="A953" s="111"/>
      <c r="B953" s="112"/>
      <c r="C953" s="113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</row>
    <row r="954" ht="15.75" customHeight="1">
      <c r="A954" s="107"/>
      <c r="B954" s="108"/>
      <c r="C954" s="114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</row>
    <row r="955" ht="15.75" customHeight="1">
      <c r="A955" s="111"/>
      <c r="B955" s="112"/>
      <c r="C955" s="113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</row>
    <row r="956" ht="15.75" customHeight="1">
      <c r="A956" s="107"/>
      <c r="B956" s="108"/>
      <c r="C956" s="114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</row>
    <row r="957" ht="15.75" customHeight="1">
      <c r="A957" s="111"/>
      <c r="B957" s="112"/>
      <c r="C957" s="113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</row>
    <row r="958" ht="15.75" customHeight="1">
      <c r="A958" s="107"/>
      <c r="B958" s="108"/>
      <c r="C958" s="114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</row>
    <row r="959" ht="15.75" customHeight="1">
      <c r="A959" s="111"/>
      <c r="B959" s="112"/>
      <c r="C959" s="113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</row>
    <row r="960" ht="15.75" customHeight="1">
      <c r="A960" s="107"/>
      <c r="B960" s="108"/>
      <c r="C960" s="114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</row>
    <row r="961" ht="15.75" customHeight="1">
      <c r="A961" s="111"/>
      <c r="B961" s="112"/>
      <c r="C961" s="113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</row>
    <row r="962" ht="15.75" customHeight="1">
      <c r="A962" s="107"/>
      <c r="B962" s="108"/>
      <c r="C962" s="114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</row>
    <row r="963" ht="15.75" customHeight="1">
      <c r="A963" s="111"/>
      <c r="B963" s="112"/>
      <c r="C963" s="113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</row>
    <row r="964" ht="15.75" customHeight="1">
      <c r="A964" s="107"/>
      <c r="B964" s="108"/>
      <c r="C964" s="114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</row>
    <row r="965" ht="15.75" customHeight="1">
      <c r="A965" s="111"/>
      <c r="B965" s="112"/>
      <c r="C965" s="113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</row>
    <row r="966" ht="15.75" customHeight="1">
      <c r="A966" s="107"/>
      <c r="B966" s="108"/>
      <c r="C966" s="114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</row>
    <row r="967" ht="15.75" customHeight="1">
      <c r="A967" s="111"/>
      <c r="B967" s="112"/>
      <c r="C967" s="113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</row>
    <row r="968" ht="15.75" customHeight="1">
      <c r="A968" s="107"/>
      <c r="B968" s="108"/>
      <c r="C968" s="114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</row>
    <row r="969" ht="15.75" customHeight="1">
      <c r="A969" s="111"/>
      <c r="B969" s="112"/>
      <c r="C969" s="113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</row>
    <row r="970" ht="15.75" customHeight="1">
      <c r="A970" s="107"/>
      <c r="B970" s="108"/>
      <c r="C970" s="114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</row>
    <row r="971" ht="15.75" customHeight="1">
      <c r="A971" s="111"/>
      <c r="B971" s="112"/>
      <c r="C971" s="113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</row>
    <row r="972" ht="15.75" customHeight="1">
      <c r="A972" s="107"/>
      <c r="B972" s="108"/>
      <c r="C972" s="114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</row>
    <row r="973" ht="15.75" customHeight="1">
      <c r="A973" s="111"/>
      <c r="B973" s="112"/>
      <c r="C973" s="113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</row>
    <row r="974" ht="15.75" customHeight="1">
      <c r="A974" s="107"/>
      <c r="B974" s="108"/>
      <c r="C974" s="114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</row>
    <row r="975" ht="15.75" customHeight="1">
      <c r="A975" s="111"/>
      <c r="B975" s="112"/>
      <c r="C975" s="113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</row>
    <row r="976" ht="15.75" customHeight="1">
      <c r="A976" s="107"/>
      <c r="B976" s="108"/>
      <c r="C976" s="114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</row>
    <row r="977" ht="15.75" customHeight="1">
      <c r="A977" s="111"/>
      <c r="B977" s="112"/>
      <c r="C977" s="113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</row>
    <row r="978" ht="15.75" customHeight="1">
      <c r="A978" s="107"/>
      <c r="B978" s="108"/>
      <c r="C978" s="114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</row>
    <row r="979" ht="15.75" customHeight="1">
      <c r="A979" s="111"/>
      <c r="B979" s="112"/>
      <c r="C979" s="113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</row>
    <row r="980" ht="15.75" customHeight="1">
      <c r="A980" s="107"/>
      <c r="B980" s="108"/>
      <c r="C980" s="114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</row>
    <row r="981" ht="15.75" customHeight="1">
      <c r="A981" s="111"/>
      <c r="B981" s="112"/>
      <c r="C981" s="113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</row>
    <row r="982" ht="15.75" customHeight="1">
      <c r="A982" s="107"/>
      <c r="B982" s="108"/>
      <c r="C982" s="114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</row>
    <row r="983" ht="15.75" customHeight="1">
      <c r="A983" s="111"/>
      <c r="B983" s="112"/>
      <c r="C983" s="113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</row>
    <row r="984" ht="15.75" customHeight="1">
      <c r="A984" s="107"/>
      <c r="B984" s="108"/>
      <c r="C984" s="114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</row>
    <row r="985" ht="15.75" customHeight="1">
      <c r="A985" s="111"/>
      <c r="B985" s="112"/>
      <c r="C985" s="113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</row>
    <row r="986" ht="15.75" customHeight="1">
      <c r="A986" s="107"/>
      <c r="B986" s="108"/>
      <c r="C986" s="114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</row>
    <row r="987" ht="15.75" customHeight="1">
      <c r="A987" s="111"/>
      <c r="B987" s="112"/>
      <c r="C987" s="113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</row>
    <row r="988" ht="15.75" customHeight="1">
      <c r="A988" s="107"/>
      <c r="B988" s="108"/>
      <c r="C988" s="114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</row>
    <row r="989" ht="15.75" customHeight="1">
      <c r="A989" s="111"/>
      <c r="B989" s="112"/>
      <c r="C989" s="113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</row>
    <row r="990" ht="15.75" customHeight="1">
      <c r="A990" s="107"/>
      <c r="B990" s="108"/>
      <c r="C990" s="114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</row>
    <row r="991" ht="15.75" customHeight="1">
      <c r="A991" s="111"/>
      <c r="B991" s="112"/>
      <c r="C991" s="113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</row>
    <row r="992" ht="15.75" customHeight="1">
      <c r="A992" s="107"/>
      <c r="B992" s="108"/>
      <c r="C992" s="114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</row>
    <row r="993" ht="15.75" customHeight="1">
      <c r="A993" s="111"/>
      <c r="B993" s="112"/>
      <c r="C993" s="113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</row>
    <row r="994" ht="15.75" customHeight="1">
      <c r="A994" s="107"/>
      <c r="B994" s="108"/>
      <c r="C994" s="114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</row>
    <row r="995" ht="15.75" customHeight="1">
      <c r="A995" s="111"/>
      <c r="B995" s="112"/>
      <c r="C995" s="113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</row>
    <row r="996" ht="15.75" customHeight="1">
      <c r="A996" s="107"/>
      <c r="B996" s="108"/>
      <c r="C996" s="114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</row>
    <row r="997" ht="15.75" customHeight="1">
      <c r="A997" s="111"/>
      <c r="B997" s="112"/>
      <c r="C997" s="113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</row>
    <row r="998" ht="15.75" customHeight="1">
      <c r="A998" s="107"/>
      <c r="B998" s="108"/>
      <c r="C998" s="114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</row>
    <row r="999" ht="15.75" customHeight="1">
      <c r="A999" s="111"/>
      <c r="B999" s="112"/>
      <c r="C999" s="113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</row>
    <row r="1000" ht="15.75" customHeight="1">
      <c r="A1000" s="107"/>
      <c r="B1000" s="108"/>
      <c r="C1000" s="114"/>
      <c r="D1000" s="90"/>
      <c r="E1000" s="90"/>
      <c r="F1000" s="90"/>
      <c r="G1000" s="90"/>
      <c r="H1000" s="90"/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</row>
  </sheetData>
  <dataValidations>
    <dataValidation type="custom" allowBlank="1" showDropDown="1" sqref="B2:C1000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12.88"/>
    <col customWidth="1" min="3" max="3" width="41.75"/>
    <col customWidth="1" min="4" max="4" width="9.38"/>
    <col customWidth="1" min="5" max="5" width="8.38"/>
    <col customWidth="1" min="6" max="6" width="10.63"/>
    <col customWidth="1" min="7" max="7" width="15.0"/>
    <col customWidth="1" min="8" max="8" width="85.38"/>
    <col customWidth="1" min="9" max="9" width="15.63"/>
  </cols>
  <sheetData>
    <row r="1">
      <c r="A1" s="115" t="s">
        <v>388</v>
      </c>
      <c r="B1" s="115" t="s">
        <v>389</v>
      </c>
      <c r="C1" s="115" t="s">
        <v>13</v>
      </c>
      <c r="D1" s="115" t="s">
        <v>14</v>
      </c>
      <c r="E1" s="115" t="s">
        <v>390</v>
      </c>
      <c r="F1" s="115" t="s">
        <v>17</v>
      </c>
      <c r="G1" s="115" t="s">
        <v>391</v>
      </c>
      <c r="H1" s="116"/>
      <c r="I1" s="116"/>
    </row>
    <row r="2">
      <c r="A2" s="117">
        <v>46097.0</v>
      </c>
      <c r="B2" s="60" t="s">
        <v>392</v>
      </c>
      <c r="C2" s="60" t="s">
        <v>241</v>
      </c>
      <c r="D2" s="60">
        <v>10.0</v>
      </c>
      <c r="E2" s="60">
        <v>1.5</v>
      </c>
      <c r="F2" s="60">
        <v>15.0</v>
      </c>
      <c r="G2" s="118" t="s">
        <v>393</v>
      </c>
      <c r="H2" s="116"/>
      <c r="I2" s="116"/>
    </row>
    <row r="3">
      <c r="A3" s="117">
        <v>46097.0</v>
      </c>
      <c r="B3" s="60" t="s">
        <v>392</v>
      </c>
      <c r="C3" s="60" t="s">
        <v>233</v>
      </c>
      <c r="D3" s="60">
        <v>0.13</v>
      </c>
      <c r="E3" s="60">
        <v>15.0</v>
      </c>
      <c r="F3" s="60">
        <v>2.0</v>
      </c>
      <c r="G3" s="118" t="s">
        <v>393</v>
      </c>
      <c r="H3" s="116"/>
      <c r="I3" s="116"/>
    </row>
    <row r="4">
      <c r="A4" s="117">
        <v>46097.0</v>
      </c>
      <c r="B4" s="60" t="s">
        <v>392</v>
      </c>
      <c r="C4" s="60" t="s">
        <v>166</v>
      </c>
      <c r="D4" s="60">
        <v>0.27</v>
      </c>
      <c r="E4" s="60">
        <v>8.0</v>
      </c>
      <c r="F4" s="60">
        <v>2.2</v>
      </c>
      <c r="G4" s="118" t="s">
        <v>393</v>
      </c>
      <c r="H4" s="116"/>
      <c r="I4" s="116"/>
    </row>
    <row r="5">
      <c r="A5" s="117">
        <v>46097.0</v>
      </c>
      <c r="B5" s="60" t="s">
        <v>392</v>
      </c>
      <c r="C5" s="60" t="s">
        <v>89</v>
      </c>
      <c r="D5" s="60">
        <v>0.13</v>
      </c>
      <c r="E5" s="60">
        <v>45.0</v>
      </c>
      <c r="F5" s="60">
        <v>5.9</v>
      </c>
      <c r="G5" s="118" t="s">
        <v>393</v>
      </c>
      <c r="H5" s="116"/>
      <c r="I5" s="116"/>
    </row>
    <row r="6">
      <c r="A6" s="117">
        <v>46097.0</v>
      </c>
      <c r="B6" s="60" t="s">
        <v>394</v>
      </c>
      <c r="C6" s="60" t="s">
        <v>89</v>
      </c>
      <c r="D6" s="60">
        <v>0.13</v>
      </c>
      <c r="E6" s="60">
        <v>46.0</v>
      </c>
      <c r="F6" s="60">
        <v>6.0</v>
      </c>
      <c r="G6" s="118" t="s">
        <v>393</v>
      </c>
      <c r="H6" s="116"/>
      <c r="I6" s="116"/>
    </row>
    <row r="7">
      <c r="A7" s="117">
        <v>46097.0</v>
      </c>
      <c r="B7" s="60" t="s">
        <v>394</v>
      </c>
      <c r="C7" s="60" t="s">
        <v>111</v>
      </c>
      <c r="D7" s="60">
        <v>0.12</v>
      </c>
      <c r="E7" s="60">
        <v>38.0</v>
      </c>
      <c r="F7" s="60">
        <v>4.5</v>
      </c>
      <c r="G7" s="118" t="s">
        <v>393</v>
      </c>
      <c r="H7" s="116"/>
      <c r="I7" s="116"/>
    </row>
    <row r="8">
      <c r="A8" s="117">
        <v>46097.0</v>
      </c>
      <c r="B8" s="60" t="s">
        <v>395</v>
      </c>
      <c r="C8" s="60" t="s">
        <v>241</v>
      </c>
      <c r="D8" s="60">
        <v>10.0</v>
      </c>
      <c r="E8" s="60">
        <v>1.5</v>
      </c>
      <c r="F8" s="60">
        <v>15.0</v>
      </c>
      <c r="G8" s="118" t="s">
        <v>393</v>
      </c>
      <c r="H8" s="116"/>
      <c r="I8" s="116"/>
    </row>
    <row r="9">
      <c r="A9" s="117">
        <v>46097.0</v>
      </c>
      <c r="B9" s="60" t="s">
        <v>395</v>
      </c>
      <c r="C9" s="60" t="s">
        <v>328</v>
      </c>
      <c r="D9" s="60">
        <v>0.07</v>
      </c>
      <c r="E9" s="60">
        <v>21.0</v>
      </c>
      <c r="F9" s="60">
        <v>1.5</v>
      </c>
      <c r="G9" s="118" t="s">
        <v>393</v>
      </c>
      <c r="H9" s="116"/>
      <c r="I9" s="116"/>
    </row>
    <row r="10">
      <c r="A10" s="117">
        <v>46097.0</v>
      </c>
      <c r="B10" s="60" t="s">
        <v>395</v>
      </c>
      <c r="C10" s="60" t="s">
        <v>349</v>
      </c>
      <c r="D10" s="60">
        <v>1.0</v>
      </c>
      <c r="E10" s="60">
        <v>1.0</v>
      </c>
      <c r="F10" s="60">
        <v>1.0</v>
      </c>
      <c r="G10" s="118" t="s">
        <v>393</v>
      </c>
      <c r="H10" s="116"/>
      <c r="I10" s="116"/>
    </row>
    <row r="11">
      <c r="A11" s="117">
        <v>46096.0</v>
      </c>
      <c r="B11" s="60" t="s">
        <v>392</v>
      </c>
      <c r="C11" s="60" t="s">
        <v>354</v>
      </c>
      <c r="D11" s="60">
        <v>12.0</v>
      </c>
      <c r="E11" s="60">
        <v>1.0</v>
      </c>
      <c r="F11" s="60">
        <v>12.0</v>
      </c>
      <c r="G11" s="118" t="s">
        <v>396</v>
      </c>
      <c r="H11" s="116"/>
      <c r="I11" s="116"/>
    </row>
    <row r="12">
      <c r="A12" s="117">
        <v>46096.0</v>
      </c>
      <c r="B12" s="60" t="s">
        <v>392</v>
      </c>
      <c r="C12" s="60" t="s">
        <v>325</v>
      </c>
      <c r="D12" s="60">
        <v>0.05</v>
      </c>
      <c r="E12" s="60">
        <v>50.0</v>
      </c>
      <c r="F12" s="60">
        <v>2.5</v>
      </c>
      <c r="G12" s="118" t="s">
        <v>396</v>
      </c>
      <c r="H12" s="116"/>
      <c r="I12" s="116"/>
    </row>
    <row r="13">
      <c r="A13" s="117">
        <v>46096.0</v>
      </c>
      <c r="B13" s="60" t="s">
        <v>397</v>
      </c>
      <c r="C13" s="60" t="s">
        <v>87</v>
      </c>
      <c r="D13" s="60">
        <v>0.27</v>
      </c>
      <c r="E13" s="60">
        <v>110.0</v>
      </c>
      <c r="F13" s="60">
        <v>29.7</v>
      </c>
      <c r="G13" s="118" t="s">
        <v>396</v>
      </c>
      <c r="H13" s="116"/>
      <c r="I13" s="116"/>
    </row>
    <row r="14">
      <c r="A14" s="117">
        <v>46096.0</v>
      </c>
      <c r="B14" s="60" t="s">
        <v>397</v>
      </c>
      <c r="C14" s="60" t="s">
        <v>328</v>
      </c>
      <c r="D14" s="60">
        <v>0.07</v>
      </c>
      <c r="E14" s="60">
        <v>10.0</v>
      </c>
      <c r="F14" s="60">
        <v>0.7</v>
      </c>
      <c r="G14" s="118" t="s">
        <v>396</v>
      </c>
      <c r="H14" s="116"/>
      <c r="I14" s="116"/>
    </row>
    <row r="15">
      <c r="A15" s="117">
        <v>46096.0</v>
      </c>
      <c r="B15" s="60" t="s">
        <v>397</v>
      </c>
      <c r="C15" s="60" t="s">
        <v>115</v>
      </c>
      <c r="D15" s="60">
        <v>0.03</v>
      </c>
      <c r="E15" s="60">
        <v>30.0</v>
      </c>
      <c r="F15" s="60">
        <v>0.9</v>
      </c>
      <c r="G15" s="118" t="s">
        <v>396</v>
      </c>
      <c r="H15" s="116"/>
      <c r="I15" s="116"/>
    </row>
    <row r="16">
      <c r="A16" s="117">
        <v>46096.0</v>
      </c>
      <c r="B16" s="60" t="s">
        <v>398</v>
      </c>
      <c r="C16" s="60" t="s">
        <v>386</v>
      </c>
      <c r="D16" s="60">
        <v>0.6</v>
      </c>
      <c r="E16" s="60">
        <v>10.0</v>
      </c>
      <c r="F16" s="60">
        <v>6.0</v>
      </c>
      <c r="G16" s="118" t="s">
        <v>396</v>
      </c>
      <c r="H16" s="116"/>
      <c r="I16" s="116"/>
    </row>
    <row r="17">
      <c r="A17" s="117">
        <v>46096.0</v>
      </c>
      <c r="B17" s="60" t="s">
        <v>398</v>
      </c>
      <c r="C17" s="60" t="s">
        <v>152</v>
      </c>
      <c r="D17" s="60">
        <v>0.0</v>
      </c>
      <c r="E17" s="60"/>
      <c r="F17" s="60"/>
      <c r="G17" s="118" t="s">
        <v>396</v>
      </c>
      <c r="H17" s="116"/>
      <c r="I17" s="116"/>
    </row>
    <row r="18">
      <c r="A18" s="117">
        <v>46096.0</v>
      </c>
      <c r="B18" s="60" t="s">
        <v>395</v>
      </c>
      <c r="C18" s="60" t="s">
        <v>176</v>
      </c>
      <c r="D18" s="60">
        <v>0.0</v>
      </c>
      <c r="E18" s="60">
        <v>30.0</v>
      </c>
      <c r="F18" s="60">
        <v>0.0</v>
      </c>
      <c r="G18" s="118" t="s">
        <v>396</v>
      </c>
      <c r="H18" s="116"/>
      <c r="I18" s="116"/>
    </row>
    <row r="19">
      <c r="A19" s="117">
        <v>46096.0</v>
      </c>
      <c r="B19" s="60" t="s">
        <v>395</v>
      </c>
      <c r="C19" s="60" t="s">
        <v>293</v>
      </c>
      <c r="D19" s="60">
        <v>0.19</v>
      </c>
      <c r="E19" s="60">
        <v>60.0</v>
      </c>
      <c r="F19" s="60">
        <v>11.4</v>
      </c>
      <c r="G19" s="118" t="s">
        <v>396</v>
      </c>
      <c r="H19" s="116"/>
      <c r="I19" s="116"/>
    </row>
    <row r="20">
      <c r="A20" s="117">
        <v>46096.0</v>
      </c>
      <c r="B20" s="60" t="s">
        <v>395</v>
      </c>
      <c r="C20" s="60" t="s">
        <v>230</v>
      </c>
      <c r="D20" s="60">
        <v>0.02</v>
      </c>
      <c r="E20" s="60">
        <v>100.0</v>
      </c>
      <c r="F20" s="60">
        <v>2.0</v>
      </c>
      <c r="G20" s="118" t="s">
        <v>396</v>
      </c>
      <c r="H20" s="116"/>
      <c r="I20" s="116"/>
    </row>
    <row r="21">
      <c r="A21" s="117">
        <v>46096.0</v>
      </c>
      <c r="B21" s="60" t="s">
        <v>395</v>
      </c>
      <c r="C21" s="60" t="s">
        <v>278</v>
      </c>
      <c r="D21" s="60">
        <v>0.08</v>
      </c>
      <c r="E21" s="60">
        <v>69.0</v>
      </c>
      <c r="F21" s="60">
        <v>5.5</v>
      </c>
      <c r="G21" s="118" t="s">
        <v>396</v>
      </c>
      <c r="H21" s="116"/>
      <c r="I21" s="116"/>
    </row>
    <row r="22">
      <c r="A22" s="117">
        <v>46096.0</v>
      </c>
      <c r="B22" s="60" t="s">
        <v>399</v>
      </c>
      <c r="C22" s="60" t="s">
        <v>104</v>
      </c>
      <c r="D22" s="60">
        <v>0.05</v>
      </c>
      <c r="E22" s="60">
        <v>27.0</v>
      </c>
      <c r="F22" s="60">
        <v>1.4</v>
      </c>
      <c r="G22" s="118" t="s">
        <v>396</v>
      </c>
      <c r="H22" s="116"/>
      <c r="I22" s="116"/>
    </row>
    <row r="23">
      <c r="A23" s="117">
        <v>46095.0</v>
      </c>
      <c r="B23" s="60" t="s">
        <v>392</v>
      </c>
      <c r="C23" s="60" t="s">
        <v>140</v>
      </c>
      <c r="D23" s="60">
        <v>0.76</v>
      </c>
      <c r="E23" s="60">
        <v>45.0</v>
      </c>
      <c r="F23" s="60">
        <v>34.2</v>
      </c>
      <c r="G23" s="118" t="s">
        <v>400</v>
      </c>
      <c r="H23" s="116"/>
      <c r="I23" s="116"/>
    </row>
    <row r="24">
      <c r="A24" s="117">
        <v>46095.0</v>
      </c>
      <c r="B24" s="60" t="s">
        <v>397</v>
      </c>
      <c r="C24" s="60" t="s">
        <v>354</v>
      </c>
      <c r="D24" s="60">
        <v>12.0</v>
      </c>
      <c r="E24" s="60">
        <v>1.0</v>
      </c>
      <c r="F24" s="60">
        <v>12.0</v>
      </c>
      <c r="G24" s="118" t="s">
        <v>400</v>
      </c>
      <c r="H24" s="116"/>
      <c r="I24" s="116"/>
    </row>
    <row r="25">
      <c r="A25" s="117">
        <v>46095.0</v>
      </c>
      <c r="B25" s="60" t="s">
        <v>397</v>
      </c>
      <c r="C25" s="60" t="s">
        <v>273</v>
      </c>
      <c r="D25" s="60">
        <v>0.09</v>
      </c>
      <c r="E25" s="60">
        <v>0.0</v>
      </c>
      <c r="F25" s="60">
        <v>0.0</v>
      </c>
      <c r="G25" s="118" t="s">
        <v>400</v>
      </c>
      <c r="H25" s="116"/>
      <c r="I25" s="116"/>
    </row>
    <row r="26">
      <c r="A26" s="117">
        <v>46095.0</v>
      </c>
      <c r="B26" s="60" t="s">
        <v>397</v>
      </c>
      <c r="C26" s="60" t="s">
        <v>342</v>
      </c>
      <c r="D26" s="60">
        <v>0.03</v>
      </c>
      <c r="E26" s="60">
        <v>22.0</v>
      </c>
      <c r="F26" s="60">
        <v>0.7</v>
      </c>
      <c r="G26" s="118" t="s">
        <v>400</v>
      </c>
      <c r="H26" s="116"/>
      <c r="I26" s="116"/>
    </row>
    <row r="27">
      <c r="A27" s="117">
        <v>46095.0</v>
      </c>
      <c r="B27" s="60" t="s">
        <v>398</v>
      </c>
      <c r="C27" s="60" t="s">
        <v>89</v>
      </c>
      <c r="D27" s="60">
        <v>0.13</v>
      </c>
      <c r="E27" s="60">
        <v>55.0</v>
      </c>
      <c r="F27" s="60">
        <v>7.2</v>
      </c>
      <c r="G27" s="118" t="s">
        <v>400</v>
      </c>
      <c r="H27" s="116"/>
      <c r="I27" s="116"/>
    </row>
    <row r="28">
      <c r="A28" s="117">
        <v>46095.0</v>
      </c>
      <c r="B28" s="60" t="s">
        <v>398</v>
      </c>
      <c r="C28" s="60" t="s">
        <v>233</v>
      </c>
      <c r="D28" s="60">
        <v>0.13</v>
      </c>
      <c r="E28" s="60">
        <v>12.0</v>
      </c>
      <c r="F28" s="60">
        <v>1.6</v>
      </c>
      <c r="G28" s="118" t="s">
        <v>400</v>
      </c>
      <c r="H28" s="116"/>
      <c r="I28" s="116"/>
    </row>
    <row r="29">
      <c r="A29" s="117">
        <v>46095.0</v>
      </c>
      <c r="B29" s="60" t="s">
        <v>395</v>
      </c>
      <c r="C29" s="60" t="s">
        <v>206</v>
      </c>
      <c r="D29" s="60">
        <v>0.08</v>
      </c>
      <c r="E29" s="60">
        <v>40.0</v>
      </c>
      <c r="F29" s="60">
        <v>3.2</v>
      </c>
      <c r="G29" s="118" t="s">
        <v>400</v>
      </c>
      <c r="H29" s="116"/>
      <c r="I29" s="116"/>
    </row>
    <row r="30">
      <c r="A30" s="117">
        <v>46095.0</v>
      </c>
      <c r="B30" s="60" t="s">
        <v>395</v>
      </c>
      <c r="C30" s="60" t="s">
        <v>302</v>
      </c>
      <c r="D30" s="60">
        <v>21.0</v>
      </c>
      <c r="E30" s="60">
        <v>1.0</v>
      </c>
      <c r="F30" s="60">
        <v>21.0</v>
      </c>
      <c r="G30" s="118" t="s">
        <v>400</v>
      </c>
      <c r="H30" s="116"/>
      <c r="I30" s="116"/>
    </row>
    <row r="31">
      <c r="A31" s="117">
        <v>46095.0</v>
      </c>
      <c r="B31" s="60" t="s">
        <v>395</v>
      </c>
      <c r="C31" s="60" t="s">
        <v>222</v>
      </c>
      <c r="D31" s="60">
        <v>0.02</v>
      </c>
      <c r="E31" s="60">
        <v>10.0</v>
      </c>
      <c r="F31" s="60">
        <v>0.2</v>
      </c>
      <c r="G31" s="118" t="s">
        <v>400</v>
      </c>
      <c r="H31" s="116"/>
      <c r="I31" s="116"/>
    </row>
    <row r="32">
      <c r="A32" s="117">
        <v>46094.0</v>
      </c>
      <c r="B32" s="60" t="s">
        <v>392</v>
      </c>
      <c r="C32" s="60" t="s">
        <v>241</v>
      </c>
      <c r="D32" s="60">
        <v>10.0</v>
      </c>
      <c r="E32" s="60">
        <v>1.5</v>
      </c>
      <c r="F32" s="60">
        <v>15.0</v>
      </c>
      <c r="G32" s="118" t="s">
        <v>401</v>
      </c>
      <c r="H32" s="116"/>
      <c r="I32" s="116"/>
    </row>
    <row r="33">
      <c r="A33" s="117">
        <v>46094.0</v>
      </c>
      <c r="B33" s="60" t="s">
        <v>392</v>
      </c>
      <c r="C33" s="60" t="s">
        <v>233</v>
      </c>
      <c r="D33" s="60">
        <v>0.13</v>
      </c>
      <c r="E33" s="60">
        <v>18.0</v>
      </c>
      <c r="F33" s="60">
        <v>2.3</v>
      </c>
      <c r="G33" s="118" t="s">
        <v>401</v>
      </c>
      <c r="H33" s="116"/>
      <c r="I33" s="116"/>
    </row>
    <row r="34">
      <c r="A34" s="117">
        <v>46094.0</v>
      </c>
      <c r="B34" s="60" t="s">
        <v>392</v>
      </c>
      <c r="C34" s="60" t="s">
        <v>98</v>
      </c>
      <c r="D34" s="60">
        <v>0.18</v>
      </c>
      <c r="E34" s="60">
        <v>45.0</v>
      </c>
      <c r="F34" s="60">
        <v>8.1</v>
      </c>
      <c r="G34" s="118" t="s">
        <v>401</v>
      </c>
      <c r="H34" s="116"/>
      <c r="I34" s="116"/>
    </row>
    <row r="35">
      <c r="A35" s="117">
        <v>46094.0</v>
      </c>
      <c r="B35" s="60" t="s">
        <v>392</v>
      </c>
      <c r="C35" s="60" t="s">
        <v>325</v>
      </c>
      <c r="D35" s="60">
        <v>0.05</v>
      </c>
      <c r="E35" s="60">
        <v>50.0</v>
      </c>
      <c r="F35" s="60">
        <v>2.5</v>
      </c>
      <c r="G35" s="118" t="s">
        <v>401</v>
      </c>
      <c r="H35" s="116"/>
      <c r="I35" s="116"/>
    </row>
    <row r="36">
      <c r="A36" s="117">
        <v>46094.0</v>
      </c>
      <c r="B36" s="60" t="s">
        <v>394</v>
      </c>
      <c r="C36" s="60" t="s">
        <v>89</v>
      </c>
      <c r="D36" s="60">
        <v>0.13</v>
      </c>
      <c r="E36" s="60">
        <v>50.0</v>
      </c>
      <c r="F36" s="60">
        <v>6.5</v>
      </c>
      <c r="G36" s="118" t="s">
        <v>401</v>
      </c>
      <c r="H36" s="116"/>
      <c r="I36" s="116"/>
    </row>
    <row r="37">
      <c r="A37" s="117">
        <v>46094.0</v>
      </c>
      <c r="B37" s="60" t="s">
        <v>394</v>
      </c>
      <c r="C37" s="60" t="s">
        <v>273</v>
      </c>
      <c r="D37" s="60">
        <v>0.09</v>
      </c>
      <c r="E37" s="60">
        <v>0.0</v>
      </c>
      <c r="F37" s="60" t="s">
        <v>402</v>
      </c>
      <c r="G37" s="118" t="s">
        <v>401</v>
      </c>
      <c r="H37" s="116"/>
      <c r="I37" s="116"/>
    </row>
    <row r="38">
      <c r="A38" s="117">
        <v>46094.0</v>
      </c>
      <c r="B38" s="60" t="s">
        <v>395</v>
      </c>
      <c r="C38" s="60" t="s">
        <v>133</v>
      </c>
      <c r="D38" s="60">
        <v>0.22</v>
      </c>
      <c r="E38" s="60">
        <v>45.0</v>
      </c>
      <c r="F38" s="60">
        <v>9.9</v>
      </c>
      <c r="G38" s="118" t="s">
        <v>401</v>
      </c>
      <c r="H38" s="116"/>
      <c r="I38" s="116"/>
    </row>
    <row r="39">
      <c r="A39" s="117">
        <v>46094.0</v>
      </c>
      <c r="B39" s="60" t="s">
        <v>395</v>
      </c>
      <c r="C39" s="60" t="s">
        <v>170</v>
      </c>
      <c r="D39" s="60">
        <v>0.0</v>
      </c>
      <c r="E39" s="60">
        <v>2.0</v>
      </c>
      <c r="F39" s="60">
        <v>0.0</v>
      </c>
      <c r="G39" s="118" t="s">
        <v>401</v>
      </c>
      <c r="H39" s="116"/>
      <c r="I39" s="116"/>
    </row>
    <row r="40">
      <c r="A40" s="117">
        <v>46094.0</v>
      </c>
      <c r="B40" s="60" t="s">
        <v>395</v>
      </c>
      <c r="C40" s="60" t="s">
        <v>212</v>
      </c>
      <c r="D40" s="60">
        <v>0.33</v>
      </c>
      <c r="E40" s="60">
        <v>10.0</v>
      </c>
      <c r="F40" s="60">
        <v>3.3</v>
      </c>
      <c r="G40" s="118" t="s">
        <v>401</v>
      </c>
      <c r="H40" s="116"/>
      <c r="I40" s="116"/>
    </row>
    <row r="41">
      <c r="A41" s="117">
        <v>46094.0</v>
      </c>
      <c r="B41" s="60" t="s">
        <v>395</v>
      </c>
      <c r="C41" s="60" t="s">
        <v>163</v>
      </c>
      <c r="D41" s="60">
        <v>0.03</v>
      </c>
      <c r="E41" s="60">
        <v>33.0</v>
      </c>
      <c r="F41" s="60">
        <v>1.0</v>
      </c>
      <c r="G41" s="118" t="s">
        <v>401</v>
      </c>
      <c r="H41" s="116"/>
      <c r="I41" s="116"/>
    </row>
    <row r="42">
      <c r="A42" s="117">
        <v>46093.0</v>
      </c>
      <c r="B42" s="60" t="s">
        <v>392</v>
      </c>
      <c r="C42" s="60" t="s">
        <v>170</v>
      </c>
      <c r="D42" s="60">
        <v>0.0</v>
      </c>
      <c r="E42" s="60">
        <v>2.0</v>
      </c>
      <c r="F42" s="60">
        <v>0.0</v>
      </c>
      <c r="G42" s="118" t="s">
        <v>403</v>
      </c>
      <c r="H42" s="116"/>
      <c r="I42" s="116"/>
    </row>
    <row r="43">
      <c r="A43" s="117">
        <v>46093.0</v>
      </c>
      <c r="B43" s="60" t="s">
        <v>392</v>
      </c>
      <c r="C43" s="60" t="s">
        <v>212</v>
      </c>
      <c r="D43" s="60">
        <v>0.33</v>
      </c>
      <c r="E43" s="60">
        <v>12.0</v>
      </c>
      <c r="F43" s="60">
        <v>4.0</v>
      </c>
      <c r="G43" s="118" t="s">
        <v>403</v>
      </c>
      <c r="H43" s="116"/>
      <c r="I43" s="116"/>
    </row>
    <row r="44">
      <c r="A44" s="117">
        <v>46093.0</v>
      </c>
      <c r="B44" s="60" t="s">
        <v>392</v>
      </c>
      <c r="C44" s="60" t="s">
        <v>241</v>
      </c>
      <c r="D44" s="60">
        <v>10.0</v>
      </c>
      <c r="E44" s="60">
        <v>1.0</v>
      </c>
      <c r="F44" s="60">
        <v>10.0</v>
      </c>
      <c r="G44" s="118" t="s">
        <v>403</v>
      </c>
      <c r="H44" s="116"/>
      <c r="I44" s="116"/>
    </row>
    <row r="45">
      <c r="A45" s="117">
        <v>46093.0</v>
      </c>
      <c r="B45" s="60" t="s">
        <v>392</v>
      </c>
      <c r="C45" s="60" t="s">
        <v>89</v>
      </c>
      <c r="D45" s="60">
        <v>0.13</v>
      </c>
      <c r="E45" s="60">
        <v>50.0</v>
      </c>
      <c r="F45" s="60">
        <v>6.5</v>
      </c>
      <c r="G45" s="118" t="s">
        <v>403</v>
      </c>
      <c r="H45" s="116"/>
      <c r="I45" s="116"/>
    </row>
    <row r="46">
      <c r="A46" s="117">
        <v>46093.0</v>
      </c>
      <c r="B46" s="60" t="s">
        <v>397</v>
      </c>
      <c r="C46" s="60" t="s">
        <v>144</v>
      </c>
      <c r="D46" s="60">
        <v>20.0</v>
      </c>
      <c r="E46" s="60">
        <v>1.0</v>
      </c>
      <c r="F46" s="60">
        <v>20.0</v>
      </c>
      <c r="G46" s="118" t="s">
        <v>403</v>
      </c>
      <c r="H46" s="116"/>
      <c r="I46" s="116"/>
    </row>
    <row r="47">
      <c r="A47" s="117">
        <v>46093.0</v>
      </c>
      <c r="B47" s="60" t="s">
        <v>397</v>
      </c>
      <c r="C47" s="60" t="s">
        <v>244</v>
      </c>
      <c r="D47" s="60">
        <v>2.0</v>
      </c>
      <c r="E47" s="60">
        <v>1.0</v>
      </c>
      <c r="F47" s="60">
        <v>2.0</v>
      </c>
      <c r="G47" s="118" t="s">
        <v>403</v>
      </c>
      <c r="H47" s="116"/>
      <c r="I47" s="116"/>
    </row>
    <row r="48">
      <c r="A48" s="117">
        <v>46093.0</v>
      </c>
      <c r="B48" s="60" t="s">
        <v>397</v>
      </c>
      <c r="C48" s="60" t="s">
        <v>349</v>
      </c>
      <c r="D48" s="60">
        <v>1.0</v>
      </c>
      <c r="E48" s="60">
        <v>1.0</v>
      </c>
      <c r="F48" s="60">
        <v>1.0</v>
      </c>
      <c r="G48" s="118" t="s">
        <v>403</v>
      </c>
      <c r="H48" s="116"/>
      <c r="I48" s="116"/>
    </row>
    <row r="49">
      <c r="A49" s="117">
        <v>46093.0</v>
      </c>
      <c r="B49" s="60" t="s">
        <v>397</v>
      </c>
      <c r="C49" s="60" t="s">
        <v>212</v>
      </c>
      <c r="D49" s="60">
        <v>0.33</v>
      </c>
      <c r="E49" s="60">
        <v>6.0</v>
      </c>
      <c r="F49" s="60">
        <v>2.0</v>
      </c>
      <c r="G49" s="118" t="s">
        <v>403</v>
      </c>
      <c r="H49" s="116"/>
      <c r="I49" s="116"/>
    </row>
    <row r="50">
      <c r="A50" s="117">
        <v>46093.0</v>
      </c>
      <c r="B50" s="60" t="s">
        <v>397</v>
      </c>
      <c r="C50" s="60" t="s">
        <v>296</v>
      </c>
      <c r="D50" s="60">
        <v>0.26</v>
      </c>
      <c r="E50" s="60">
        <v>6.0</v>
      </c>
      <c r="F50" s="60">
        <v>1.6</v>
      </c>
      <c r="G50" s="118" t="s">
        <v>403</v>
      </c>
      <c r="H50" s="116"/>
      <c r="I50" s="116"/>
    </row>
    <row r="51">
      <c r="A51" s="117">
        <v>46093.0</v>
      </c>
      <c r="B51" s="60" t="s">
        <v>397</v>
      </c>
      <c r="C51" s="60" t="s">
        <v>213</v>
      </c>
      <c r="D51" s="60">
        <v>0.0</v>
      </c>
      <c r="E51" s="60">
        <v>6.0</v>
      </c>
      <c r="F51" s="60">
        <v>0.0</v>
      </c>
      <c r="G51" s="118" t="s">
        <v>403</v>
      </c>
      <c r="H51" s="116"/>
      <c r="I51" s="116"/>
    </row>
    <row r="52">
      <c r="A52" s="117">
        <v>46093.0</v>
      </c>
      <c r="B52" s="60" t="s">
        <v>397</v>
      </c>
      <c r="C52" s="60" t="s">
        <v>260</v>
      </c>
      <c r="D52" s="60">
        <v>0.0</v>
      </c>
      <c r="E52" s="60">
        <v>6.0</v>
      </c>
      <c r="F52" s="60">
        <v>0.0</v>
      </c>
      <c r="G52" s="118" t="s">
        <v>403</v>
      </c>
      <c r="H52" s="116"/>
      <c r="I52" s="116"/>
    </row>
    <row r="53">
      <c r="A53" s="117">
        <v>46093.0</v>
      </c>
      <c r="B53" s="60" t="s">
        <v>395</v>
      </c>
      <c r="C53" s="60" t="s">
        <v>102</v>
      </c>
      <c r="D53" s="60">
        <v>0.31</v>
      </c>
      <c r="E53" s="60">
        <v>70.0</v>
      </c>
      <c r="F53" s="60">
        <v>21.7</v>
      </c>
      <c r="G53" s="118" t="s">
        <v>403</v>
      </c>
      <c r="H53" s="116"/>
      <c r="I53" s="116"/>
    </row>
    <row r="54">
      <c r="A54" s="117">
        <v>46093.0</v>
      </c>
      <c r="B54" s="60" t="s">
        <v>395</v>
      </c>
      <c r="C54" s="60" t="s">
        <v>205</v>
      </c>
      <c r="D54" s="60">
        <v>0.08</v>
      </c>
      <c r="E54" s="60">
        <v>35.0</v>
      </c>
      <c r="F54" s="60">
        <v>2.8</v>
      </c>
      <c r="G54" s="118" t="s">
        <v>403</v>
      </c>
      <c r="H54" s="116"/>
      <c r="I54" s="116"/>
    </row>
    <row r="55">
      <c r="A55" s="117">
        <v>46093.0</v>
      </c>
      <c r="B55" s="60" t="s">
        <v>395</v>
      </c>
      <c r="C55" s="60" t="s">
        <v>152</v>
      </c>
      <c r="D55" s="60">
        <v>0.0</v>
      </c>
      <c r="E55" s="60">
        <v>50.0</v>
      </c>
      <c r="F55" s="60">
        <v>0.0</v>
      </c>
      <c r="G55" s="118" t="s">
        <v>403</v>
      </c>
      <c r="H55" s="116"/>
      <c r="I55" s="116"/>
    </row>
    <row r="56">
      <c r="A56" s="117">
        <v>46093.0</v>
      </c>
      <c r="B56" s="60" t="s">
        <v>395</v>
      </c>
      <c r="C56" s="60" t="s">
        <v>176</v>
      </c>
      <c r="D56" s="60">
        <v>0.0</v>
      </c>
      <c r="E56" s="60">
        <v>50.0</v>
      </c>
      <c r="F56" s="60">
        <v>0.0</v>
      </c>
      <c r="G56" s="118" t="s">
        <v>403</v>
      </c>
      <c r="H56" s="116"/>
      <c r="I56" s="116"/>
    </row>
    <row r="57">
      <c r="A57" s="117">
        <v>46093.0</v>
      </c>
      <c r="B57" s="60" t="s">
        <v>395</v>
      </c>
      <c r="C57" s="60" t="s">
        <v>202</v>
      </c>
      <c r="D57" s="60">
        <v>0.17</v>
      </c>
      <c r="E57" s="60">
        <v>25.0</v>
      </c>
      <c r="F57" s="60">
        <v>4.3</v>
      </c>
      <c r="G57" s="118" t="s">
        <v>403</v>
      </c>
      <c r="H57" s="116"/>
      <c r="I57" s="116"/>
    </row>
    <row r="58">
      <c r="A58" s="117">
        <v>46093.0</v>
      </c>
      <c r="B58" s="60" t="s">
        <v>399</v>
      </c>
      <c r="C58" s="60" t="s">
        <v>111</v>
      </c>
      <c r="D58" s="60">
        <v>0.12</v>
      </c>
      <c r="E58" s="60">
        <v>33.0</v>
      </c>
      <c r="F58" s="60">
        <v>4.0</v>
      </c>
      <c r="G58" s="118" t="s">
        <v>403</v>
      </c>
      <c r="H58" s="116"/>
      <c r="I58" s="116"/>
    </row>
    <row r="59">
      <c r="A59" s="117">
        <v>46092.0</v>
      </c>
      <c r="B59" s="60" t="s">
        <v>392</v>
      </c>
      <c r="C59" s="60" t="s">
        <v>241</v>
      </c>
      <c r="D59" s="60">
        <v>10.0</v>
      </c>
      <c r="E59" s="60">
        <v>1.0</v>
      </c>
      <c r="F59" s="60">
        <v>10.0</v>
      </c>
      <c r="G59" s="118" t="s">
        <v>404</v>
      </c>
      <c r="H59" s="116"/>
      <c r="I59" s="116"/>
    </row>
    <row r="60">
      <c r="A60" s="117">
        <v>46092.0</v>
      </c>
      <c r="B60" s="60" t="s">
        <v>392</v>
      </c>
      <c r="C60" s="60" t="s">
        <v>233</v>
      </c>
      <c r="D60" s="60">
        <v>0.13</v>
      </c>
      <c r="E60" s="60">
        <v>14.0</v>
      </c>
      <c r="F60" s="60">
        <v>1.8</v>
      </c>
      <c r="G60" s="118" t="s">
        <v>404</v>
      </c>
      <c r="H60" s="116"/>
      <c r="I60" s="116"/>
    </row>
    <row r="61">
      <c r="A61" s="117">
        <v>46092.0</v>
      </c>
      <c r="B61" s="60" t="s">
        <v>392</v>
      </c>
      <c r="C61" s="60" t="s">
        <v>159</v>
      </c>
      <c r="D61" s="60">
        <v>4.0</v>
      </c>
      <c r="E61" s="60">
        <v>1.0</v>
      </c>
      <c r="F61" s="60">
        <v>4.0</v>
      </c>
      <c r="G61" s="118" t="s">
        <v>404</v>
      </c>
      <c r="H61" s="116"/>
      <c r="I61" s="116"/>
    </row>
    <row r="62">
      <c r="A62" s="117">
        <v>46092.0</v>
      </c>
      <c r="B62" s="60" t="s">
        <v>392</v>
      </c>
      <c r="C62" s="60" t="s">
        <v>372</v>
      </c>
      <c r="D62" s="60">
        <v>0.0</v>
      </c>
      <c r="E62" s="60">
        <v>30.0</v>
      </c>
      <c r="F62" s="60">
        <v>0.0</v>
      </c>
      <c r="G62" s="118" t="s">
        <v>404</v>
      </c>
      <c r="H62" s="116"/>
      <c r="I62" s="116"/>
    </row>
    <row r="63">
      <c r="A63" s="117">
        <v>46092.0</v>
      </c>
      <c r="B63" s="60" t="s">
        <v>397</v>
      </c>
      <c r="C63" s="60" t="s">
        <v>224</v>
      </c>
      <c r="D63" s="60">
        <v>5.0</v>
      </c>
      <c r="E63" s="60">
        <v>1.0</v>
      </c>
      <c r="F63" s="60">
        <v>5.0</v>
      </c>
      <c r="G63" s="118" t="s">
        <v>404</v>
      </c>
      <c r="H63" s="116"/>
      <c r="I63" s="116"/>
    </row>
    <row r="64">
      <c r="A64" s="117">
        <v>46092.0</v>
      </c>
      <c r="B64" s="60" t="s">
        <v>397</v>
      </c>
      <c r="C64" s="60" t="s">
        <v>155</v>
      </c>
      <c r="D64" s="60">
        <v>1.0</v>
      </c>
      <c r="E64" s="60">
        <v>2.0</v>
      </c>
      <c r="F64" s="60">
        <v>2.0</v>
      </c>
      <c r="G64" s="118" t="s">
        <v>404</v>
      </c>
      <c r="H64" s="116"/>
      <c r="I64" s="116"/>
    </row>
    <row r="65">
      <c r="A65" s="117">
        <v>46092.0</v>
      </c>
      <c r="B65" s="60" t="s">
        <v>397</v>
      </c>
      <c r="C65" s="60" t="s">
        <v>374</v>
      </c>
      <c r="D65" s="60">
        <v>0.04</v>
      </c>
      <c r="E65" s="60">
        <v>15.0</v>
      </c>
      <c r="F65" s="60">
        <v>0.6</v>
      </c>
      <c r="G65" s="118" t="s">
        <v>404</v>
      </c>
      <c r="H65" s="116"/>
      <c r="I65" s="116"/>
    </row>
    <row r="66">
      <c r="A66" s="117">
        <v>46092.0</v>
      </c>
      <c r="B66" s="60" t="s">
        <v>397</v>
      </c>
      <c r="C66" s="60" t="s">
        <v>129</v>
      </c>
      <c r="D66" s="60">
        <v>0.26</v>
      </c>
      <c r="E66" s="60">
        <v>5.0</v>
      </c>
      <c r="F66" s="60">
        <v>1.3</v>
      </c>
      <c r="G66" s="118" t="s">
        <v>404</v>
      </c>
      <c r="H66" s="116"/>
      <c r="I66" s="116"/>
    </row>
    <row r="67">
      <c r="A67" s="117">
        <v>46092.0</v>
      </c>
      <c r="B67" s="60" t="s">
        <v>397</v>
      </c>
      <c r="C67" s="60" t="s">
        <v>273</v>
      </c>
      <c r="D67" s="60">
        <v>0.09</v>
      </c>
      <c r="E67" s="60">
        <v>41.0</v>
      </c>
      <c r="F67" s="60">
        <v>3.7</v>
      </c>
      <c r="G67" s="118" t="s">
        <v>404</v>
      </c>
      <c r="H67" s="116"/>
      <c r="I67" s="116"/>
    </row>
    <row r="68">
      <c r="A68" s="117">
        <v>46092.0</v>
      </c>
      <c r="B68" s="60" t="s">
        <v>398</v>
      </c>
      <c r="C68" s="60" t="s">
        <v>111</v>
      </c>
      <c r="D68" s="60">
        <v>0.12</v>
      </c>
      <c r="E68" s="60">
        <v>33.0</v>
      </c>
      <c r="F68" s="60">
        <v>4.0</v>
      </c>
      <c r="G68" s="118" t="s">
        <v>404</v>
      </c>
      <c r="H68" s="116"/>
      <c r="I68" s="116"/>
    </row>
    <row r="69">
      <c r="A69" s="117">
        <v>46092.0</v>
      </c>
      <c r="B69" s="60" t="s">
        <v>395</v>
      </c>
      <c r="C69" s="60" t="s">
        <v>155</v>
      </c>
      <c r="D69" s="60">
        <v>1.0</v>
      </c>
      <c r="E69" s="60">
        <v>23.0</v>
      </c>
      <c r="F69" s="60">
        <v>23.0</v>
      </c>
      <c r="G69" s="118" t="s">
        <v>404</v>
      </c>
      <c r="H69" s="116"/>
      <c r="I69" s="116"/>
    </row>
    <row r="70">
      <c r="A70" s="117">
        <v>46092.0</v>
      </c>
      <c r="B70" s="60" t="s">
        <v>395</v>
      </c>
      <c r="C70" s="60" t="s">
        <v>316</v>
      </c>
      <c r="D70" s="60">
        <v>0.03</v>
      </c>
      <c r="E70" s="60">
        <v>65.0</v>
      </c>
      <c r="F70" s="60">
        <v>2.0</v>
      </c>
      <c r="G70" s="118" t="s">
        <v>404</v>
      </c>
      <c r="H70" s="116"/>
      <c r="I70" s="116"/>
    </row>
    <row r="71">
      <c r="A71" s="117">
        <v>46092.0</v>
      </c>
      <c r="B71" s="60" t="s">
        <v>395</v>
      </c>
      <c r="C71" s="60" t="s">
        <v>205</v>
      </c>
      <c r="D71" s="60">
        <v>0.08</v>
      </c>
      <c r="E71" s="60">
        <v>35.0</v>
      </c>
      <c r="F71" s="60">
        <v>2.8</v>
      </c>
      <c r="G71" s="118" t="s">
        <v>404</v>
      </c>
      <c r="H71" s="116"/>
      <c r="I71" s="116"/>
    </row>
    <row r="72">
      <c r="A72" s="117">
        <v>46092.0</v>
      </c>
      <c r="B72" s="60" t="s">
        <v>395</v>
      </c>
      <c r="C72" s="60" t="s">
        <v>205</v>
      </c>
      <c r="D72" s="60">
        <v>0.08</v>
      </c>
      <c r="E72" s="60">
        <v>0.0</v>
      </c>
      <c r="F72" s="60">
        <v>0.0</v>
      </c>
      <c r="G72" s="118" t="s">
        <v>404</v>
      </c>
      <c r="H72" s="116"/>
      <c r="I72" s="116"/>
    </row>
    <row r="73">
      <c r="A73" s="117">
        <v>46091.0</v>
      </c>
      <c r="B73" s="60" t="s">
        <v>392</v>
      </c>
      <c r="C73" s="60" t="s">
        <v>241</v>
      </c>
      <c r="D73" s="60">
        <v>10.0</v>
      </c>
      <c r="E73" s="60">
        <v>1.5</v>
      </c>
      <c r="F73" s="60">
        <v>15.0</v>
      </c>
      <c r="G73" s="118" t="s">
        <v>405</v>
      </c>
      <c r="H73" s="116"/>
      <c r="I73" s="116"/>
    </row>
    <row r="74">
      <c r="A74" s="117">
        <v>46091.0</v>
      </c>
      <c r="B74" s="60" t="s">
        <v>392</v>
      </c>
      <c r="C74" s="60" t="s">
        <v>233</v>
      </c>
      <c r="D74" s="60">
        <v>0.13</v>
      </c>
      <c r="E74" s="60">
        <v>18.0</v>
      </c>
      <c r="F74" s="60">
        <v>2.3</v>
      </c>
      <c r="G74" s="118" t="s">
        <v>405</v>
      </c>
      <c r="H74" s="116"/>
      <c r="I74" s="116"/>
    </row>
    <row r="75">
      <c r="A75" s="117">
        <v>46091.0</v>
      </c>
      <c r="B75" s="60" t="s">
        <v>392</v>
      </c>
      <c r="C75" s="60" t="s">
        <v>89</v>
      </c>
      <c r="D75" s="60">
        <v>0.13</v>
      </c>
      <c r="E75" s="60">
        <v>50.0</v>
      </c>
      <c r="F75" s="60">
        <v>6.5</v>
      </c>
      <c r="G75" s="118" t="s">
        <v>405</v>
      </c>
      <c r="H75" s="116"/>
      <c r="I75" s="116"/>
    </row>
    <row r="76">
      <c r="A76" s="117">
        <v>46091.0</v>
      </c>
      <c r="B76" s="60" t="s">
        <v>392</v>
      </c>
      <c r="C76" s="60" t="s">
        <v>294</v>
      </c>
      <c r="D76" s="60">
        <v>0.05</v>
      </c>
      <c r="E76" s="60">
        <v>18.0</v>
      </c>
      <c r="F76" s="60">
        <v>0.9</v>
      </c>
      <c r="G76" s="118" t="s">
        <v>405</v>
      </c>
      <c r="H76" s="116"/>
      <c r="I76" s="116"/>
    </row>
    <row r="77">
      <c r="A77" s="117">
        <v>46091.0</v>
      </c>
      <c r="B77" s="60" t="s">
        <v>395</v>
      </c>
      <c r="C77" s="60" t="s">
        <v>190</v>
      </c>
      <c r="D77" s="60">
        <v>8.0</v>
      </c>
      <c r="E77" s="60">
        <v>1.5</v>
      </c>
      <c r="F77" s="60">
        <v>12.0</v>
      </c>
      <c r="G77" s="118" t="s">
        <v>405</v>
      </c>
      <c r="H77" s="116"/>
      <c r="I77" s="116"/>
    </row>
    <row r="78">
      <c r="A78" s="117">
        <v>46091.0</v>
      </c>
      <c r="B78" s="60" t="s">
        <v>395</v>
      </c>
      <c r="C78" s="60" t="s">
        <v>326</v>
      </c>
      <c r="D78" s="60">
        <v>0.1</v>
      </c>
      <c r="E78" s="60">
        <v>12.0</v>
      </c>
      <c r="F78" s="60">
        <v>1.2</v>
      </c>
      <c r="G78" s="118" t="s">
        <v>405</v>
      </c>
      <c r="H78" s="116"/>
      <c r="I78" s="116"/>
    </row>
    <row r="79">
      <c r="A79" s="117">
        <v>46091.0</v>
      </c>
      <c r="B79" s="60" t="s">
        <v>395</v>
      </c>
      <c r="C79" s="60" t="s">
        <v>406</v>
      </c>
      <c r="D79" s="60">
        <v>0.02</v>
      </c>
      <c r="E79" s="60">
        <v>100.0</v>
      </c>
      <c r="F79" s="60">
        <v>2.01</v>
      </c>
      <c r="G79" s="118" t="s">
        <v>405</v>
      </c>
      <c r="H79" s="116"/>
      <c r="I79" s="116"/>
    </row>
    <row r="80">
      <c r="A80" s="117">
        <v>46091.0</v>
      </c>
      <c r="B80" s="60" t="s">
        <v>395</v>
      </c>
      <c r="C80" s="60" t="s">
        <v>328</v>
      </c>
      <c r="D80" s="60">
        <v>0.07</v>
      </c>
      <c r="E80" s="60">
        <v>17.0</v>
      </c>
      <c r="F80" s="60">
        <v>1.2</v>
      </c>
      <c r="G80" s="118" t="s">
        <v>405</v>
      </c>
      <c r="H80" s="116"/>
      <c r="I80" s="116"/>
    </row>
    <row r="81">
      <c r="A81" s="117">
        <v>46091.0</v>
      </c>
      <c r="B81" s="60" t="s">
        <v>399</v>
      </c>
      <c r="C81" s="60" t="s">
        <v>385</v>
      </c>
      <c r="D81" s="60">
        <v>13.0</v>
      </c>
      <c r="E81" s="60">
        <v>1.0</v>
      </c>
      <c r="F81" s="60">
        <v>13.0</v>
      </c>
      <c r="G81" s="118" t="s">
        <v>405</v>
      </c>
      <c r="H81" s="116"/>
      <c r="I81" s="116"/>
    </row>
    <row r="82">
      <c r="A82" s="117">
        <v>46090.0</v>
      </c>
      <c r="B82" s="60" t="s">
        <v>392</v>
      </c>
      <c r="C82" s="60" t="s">
        <v>170</v>
      </c>
      <c r="D82" s="60">
        <v>0.0</v>
      </c>
      <c r="E82" s="60">
        <v>2.0</v>
      </c>
      <c r="F82" s="60">
        <v>0.0</v>
      </c>
      <c r="G82" s="118" t="s">
        <v>407</v>
      </c>
      <c r="H82" s="116"/>
      <c r="I82" s="116"/>
    </row>
    <row r="83">
      <c r="A83" s="117">
        <v>46090.0</v>
      </c>
      <c r="B83" s="60" t="s">
        <v>392</v>
      </c>
      <c r="C83" s="60" t="s">
        <v>212</v>
      </c>
      <c r="D83" s="60">
        <v>0.33</v>
      </c>
      <c r="E83" s="60">
        <v>12.0</v>
      </c>
      <c r="F83" s="60">
        <v>4.0</v>
      </c>
      <c r="G83" s="118" t="s">
        <v>407</v>
      </c>
      <c r="H83" s="116"/>
      <c r="I83" s="116"/>
    </row>
    <row r="84">
      <c r="A84" s="117">
        <v>46090.0</v>
      </c>
      <c r="B84" s="60" t="s">
        <v>392</v>
      </c>
      <c r="C84" s="60" t="s">
        <v>111</v>
      </c>
      <c r="D84" s="60">
        <v>0.12</v>
      </c>
      <c r="E84" s="60">
        <v>40.0</v>
      </c>
      <c r="F84" s="60">
        <v>4.8</v>
      </c>
      <c r="G84" s="118" t="s">
        <v>407</v>
      </c>
      <c r="H84" s="116"/>
      <c r="I84" s="116"/>
    </row>
    <row r="85">
      <c r="A85" s="117">
        <v>46090.0</v>
      </c>
      <c r="B85" s="60" t="s">
        <v>392</v>
      </c>
      <c r="C85" s="60" t="s">
        <v>237</v>
      </c>
      <c r="D85" s="60">
        <v>14.0</v>
      </c>
      <c r="E85" s="60">
        <v>1.0</v>
      </c>
      <c r="F85" s="60">
        <v>14.0</v>
      </c>
      <c r="G85" s="118" t="s">
        <v>407</v>
      </c>
      <c r="H85" s="116"/>
      <c r="I85" s="116"/>
    </row>
    <row r="86">
      <c r="A86" s="117">
        <v>46090.0</v>
      </c>
      <c r="B86" s="60" t="s">
        <v>397</v>
      </c>
      <c r="C86" s="60" t="s">
        <v>144</v>
      </c>
      <c r="D86" s="60">
        <v>20.0</v>
      </c>
      <c r="E86" s="60">
        <v>1.0</v>
      </c>
      <c r="F86" s="60">
        <v>20.0</v>
      </c>
      <c r="G86" s="118" t="s">
        <v>407</v>
      </c>
      <c r="H86" s="116"/>
      <c r="I86" s="116"/>
    </row>
    <row r="87">
      <c r="A87" s="117">
        <v>46090.0</v>
      </c>
      <c r="B87" s="60" t="s">
        <v>397</v>
      </c>
      <c r="C87" s="60" t="s">
        <v>244</v>
      </c>
      <c r="D87" s="60">
        <v>2.0</v>
      </c>
      <c r="E87" s="60">
        <v>1.0</v>
      </c>
      <c r="F87" s="60">
        <v>2.0</v>
      </c>
      <c r="G87" s="118" t="s">
        <v>407</v>
      </c>
      <c r="H87" s="116"/>
      <c r="I87" s="116"/>
    </row>
    <row r="88">
      <c r="A88" s="117">
        <v>46090.0</v>
      </c>
      <c r="B88" s="60" t="s">
        <v>397</v>
      </c>
      <c r="C88" s="60" t="s">
        <v>155</v>
      </c>
      <c r="D88" s="60">
        <v>1.0</v>
      </c>
      <c r="E88" s="60">
        <v>5.25</v>
      </c>
      <c r="F88" s="60">
        <v>5.3</v>
      </c>
      <c r="G88" s="118" t="s">
        <v>407</v>
      </c>
      <c r="H88" s="116"/>
      <c r="I88" s="116"/>
    </row>
    <row r="89">
      <c r="A89" s="117">
        <v>46090.0</v>
      </c>
      <c r="B89" s="60" t="s">
        <v>397</v>
      </c>
      <c r="C89" s="60" t="s">
        <v>328</v>
      </c>
      <c r="D89" s="60">
        <v>0.07</v>
      </c>
      <c r="E89" s="60">
        <v>10.0</v>
      </c>
      <c r="F89" s="60">
        <v>0.7</v>
      </c>
      <c r="G89" s="118" t="s">
        <v>407</v>
      </c>
      <c r="H89" s="116"/>
      <c r="I89" s="116"/>
    </row>
    <row r="90">
      <c r="A90" s="117">
        <v>46090.0</v>
      </c>
      <c r="B90" s="60" t="s">
        <v>397</v>
      </c>
      <c r="C90" s="60" t="s">
        <v>296</v>
      </c>
      <c r="D90" s="60">
        <v>0.26</v>
      </c>
      <c r="E90" s="60">
        <v>6.0</v>
      </c>
      <c r="F90" s="60">
        <v>1.6</v>
      </c>
      <c r="G90" s="118" t="s">
        <v>407</v>
      </c>
      <c r="H90" s="116"/>
      <c r="I90" s="116"/>
    </row>
    <row r="91">
      <c r="A91" s="117">
        <v>46089.0</v>
      </c>
      <c r="B91" s="60" t="s">
        <v>392</v>
      </c>
      <c r="C91" s="60" t="s">
        <v>241</v>
      </c>
      <c r="D91" s="60">
        <v>10.0</v>
      </c>
      <c r="E91" s="60">
        <v>1.5</v>
      </c>
      <c r="F91" s="60">
        <v>15.0</v>
      </c>
      <c r="G91" s="118" t="s">
        <v>408</v>
      </c>
      <c r="H91" s="116"/>
      <c r="I91" s="116"/>
    </row>
    <row r="92">
      <c r="A92" s="117">
        <v>46089.0</v>
      </c>
      <c r="B92" s="60" t="s">
        <v>392</v>
      </c>
      <c r="C92" s="60" t="s">
        <v>170</v>
      </c>
      <c r="D92" s="60">
        <v>0.0</v>
      </c>
      <c r="E92" s="60">
        <v>1.5</v>
      </c>
      <c r="F92" s="60">
        <v>0.0</v>
      </c>
      <c r="G92" s="118" t="s">
        <v>408</v>
      </c>
      <c r="H92" s="116"/>
      <c r="I92" s="116"/>
    </row>
    <row r="93">
      <c r="A93" s="117">
        <v>46089.0</v>
      </c>
      <c r="B93" s="60" t="s">
        <v>392</v>
      </c>
      <c r="C93" s="60" t="s">
        <v>323</v>
      </c>
      <c r="D93" s="60">
        <v>0.02</v>
      </c>
      <c r="E93" s="60">
        <v>20.0</v>
      </c>
      <c r="F93" s="60">
        <v>0.4</v>
      </c>
      <c r="G93" s="118" t="s">
        <v>408</v>
      </c>
      <c r="H93" s="116"/>
      <c r="I93" s="116"/>
    </row>
    <row r="94">
      <c r="A94" s="117">
        <v>46089.0</v>
      </c>
      <c r="B94" s="60" t="s">
        <v>392</v>
      </c>
      <c r="C94" s="60" t="s">
        <v>111</v>
      </c>
      <c r="D94" s="60">
        <v>0.12</v>
      </c>
      <c r="E94" s="60">
        <v>35.0</v>
      </c>
      <c r="F94" s="60">
        <v>4.2</v>
      </c>
      <c r="G94" s="118" t="s">
        <v>408</v>
      </c>
      <c r="H94" s="116"/>
      <c r="I94" s="116"/>
    </row>
    <row r="95">
      <c r="A95" s="117">
        <v>46089.0</v>
      </c>
      <c r="B95" s="60" t="s">
        <v>392</v>
      </c>
      <c r="C95" s="60" t="s">
        <v>294</v>
      </c>
      <c r="D95" s="60">
        <v>0.05</v>
      </c>
      <c r="E95" s="60">
        <v>32.0</v>
      </c>
      <c r="F95" s="60">
        <v>1.6</v>
      </c>
      <c r="G95" s="118" t="s">
        <v>408</v>
      </c>
      <c r="H95" s="116"/>
      <c r="I95" s="116"/>
    </row>
    <row r="96">
      <c r="A96" s="117">
        <v>46089.0</v>
      </c>
      <c r="B96" s="60" t="s">
        <v>397</v>
      </c>
      <c r="C96" s="60" t="s">
        <v>349</v>
      </c>
      <c r="D96" s="60">
        <v>1.0</v>
      </c>
      <c r="E96" s="60">
        <v>2.0</v>
      </c>
      <c r="F96" s="60">
        <v>2.0</v>
      </c>
      <c r="G96" s="118" t="s">
        <v>408</v>
      </c>
      <c r="H96" s="116"/>
      <c r="I96" s="116"/>
    </row>
    <row r="97">
      <c r="A97" s="117">
        <v>46089.0</v>
      </c>
      <c r="B97" s="60" t="s">
        <v>397</v>
      </c>
      <c r="C97" s="60" t="s">
        <v>176</v>
      </c>
      <c r="D97" s="60">
        <v>0.0</v>
      </c>
      <c r="E97" s="60">
        <v>1.0</v>
      </c>
      <c r="F97" s="60">
        <v>0.0</v>
      </c>
      <c r="G97" s="118" t="s">
        <v>408</v>
      </c>
      <c r="H97" s="116"/>
      <c r="I97" s="116"/>
    </row>
    <row r="98">
      <c r="A98" s="117">
        <v>46089.0</v>
      </c>
      <c r="B98" s="60" t="s">
        <v>397</v>
      </c>
      <c r="C98" s="60" t="s">
        <v>273</v>
      </c>
      <c r="D98" s="60">
        <v>0.09</v>
      </c>
      <c r="E98" s="60">
        <v>56.0</v>
      </c>
      <c r="F98" s="60">
        <v>5.0</v>
      </c>
      <c r="G98" s="118" t="s">
        <v>408</v>
      </c>
      <c r="H98" s="116"/>
      <c r="I98" s="116"/>
    </row>
    <row r="99">
      <c r="A99" s="117">
        <v>46089.0</v>
      </c>
      <c r="B99" s="60" t="s">
        <v>395</v>
      </c>
      <c r="C99" s="60" t="s">
        <v>384</v>
      </c>
      <c r="D99" s="60">
        <v>0.42</v>
      </c>
      <c r="E99" s="60">
        <v>38.0</v>
      </c>
      <c r="F99" s="60">
        <v>16.0</v>
      </c>
      <c r="G99" s="118" t="s">
        <v>408</v>
      </c>
      <c r="H99" s="116"/>
      <c r="I99" s="116"/>
    </row>
    <row r="100">
      <c r="A100" s="117">
        <v>46089.0</v>
      </c>
      <c r="B100" s="60" t="s">
        <v>395</v>
      </c>
      <c r="C100" s="60" t="s">
        <v>357</v>
      </c>
      <c r="D100" s="60">
        <v>0.17</v>
      </c>
      <c r="E100" s="60">
        <v>7.0</v>
      </c>
      <c r="F100" s="60">
        <v>1.2</v>
      </c>
      <c r="G100" s="118" t="s">
        <v>408</v>
      </c>
      <c r="H100" s="116"/>
      <c r="I100" s="116"/>
    </row>
    <row r="101">
      <c r="A101" s="117">
        <v>46089.0</v>
      </c>
      <c r="B101" s="60" t="s">
        <v>395</v>
      </c>
      <c r="C101" s="60" t="s">
        <v>104</v>
      </c>
      <c r="D101" s="60">
        <v>0.05</v>
      </c>
      <c r="E101" s="60">
        <v>17.0</v>
      </c>
      <c r="F101" s="60">
        <v>0.9</v>
      </c>
      <c r="G101" s="118" t="s">
        <v>408</v>
      </c>
      <c r="H101" s="116"/>
      <c r="I101" s="116"/>
    </row>
    <row r="102">
      <c r="A102" s="117">
        <v>46089.0</v>
      </c>
      <c r="B102" s="60" t="s">
        <v>395</v>
      </c>
      <c r="C102" s="60" t="s">
        <v>205</v>
      </c>
      <c r="D102" s="60">
        <v>0.08</v>
      </c>
      <c r="E102" s="60">
        <v>35.0</v>
      </c>
      <c r="F102" s="60">
        <v>2.8</v>
      </c>
      <c r="G102" s="118" t="s">
        <v>408</v>
      </c>
      <c r="H102" s="116"/>
      <c r="I102" s="116"/>
    </row>
    <row r="103">
      <c r="A103" s="117">
        <v>46088.0</v>
      </c>
      <c r="B103" s="60" t="s">
        <v>392</v>
      </c>
      <c r="C103" s="60" t="s">
        <v>187</v>
      </c>
      <c r="D103" s="60">
        <v>2.0</v>
      </c>
      <c r="E103" s="60">
        <v>1.0</v>
      </c>
      <c r="F103" s="60">
        <v>2.0</v>
      </c>
      <c r="G103" s="118" t="s">
        <v>409</v>
      </c>
      <c r="H103" s="116"/>
      <c r="I103" s="116"/>
    </row>
    <row r="104">
      <c r="A104" s="117">
        <v>46088.0</v>
      </c>
      <c r="B104" s="60" t="s">
        <v>392</v>
      </c>
      <c r="C104" s="60" t="s">
        <v>328</v>
      </c>
      <c r="D104" s="60">
        <v>0.07</v>
      </c>
      <c r="E104" s="60">
        <v>10.0</v>
      </c>
      <c r="F104" s="60">
        <v>0.7</v>
      </c>
      <c r="G104" s="118" t="s">
        <v>409</v>
      </c>
      <c r="H104" s="116"/>
      <c r="I104" s="116"/>
    </row>
    <row r="105">
      <c r="A105" s="117">
        <v>46088.0</v>
      </c>
      <c r="B105" s="60" t="s">
        <v>392</v>
      </c>
      <c r="C105" s="60" t="s">
        <v>354</v>
      </c>
      <c r="D105" s="60">
        <v>12.0</v>
      </c>
      <c r="E105" s="60">
        <v>1.0</v>
      </c>
      <c r="F105" s="60">
        <v>12.0</v>
      </c>
      <c r="G105" s="118" t="s">
        <v>409</v>
      </c>
      <c r="H105" s="116"/>
      <c r="I105" s="116"/>
    </row>
    <row r="106">
      <c r="A106" s="117">
        <v>46088.0</v>
      </c>
      <c r="B106" s="60" t="s">
        <v>392</v>
      </c>
      <c r="C106" s="60" t="s">
        <v>325</v>
      </c>
      <c r="D106" s="60">
        <v>0.05</v>
      </c>
      <c r="E106" s="60">
        <v>70.0</v>
      </c>
      <c r="F106" s="60">
        <v>3.5</v>
      </c>
      <c r="G106" s="118" t="s">
        <v>409</v>
      </c>
      <c r="H106" s="116"/>
      <c r="I106" s="116"/>
    </row>
    <row r="107">
      <c r="A107" s="117">
        <v>46088.0</v>
      </c>
      <c r="B107" s="60" t="s">
        <v>394</v>
      </c>
      <c r="C107" s="60" t="s">
        <v>99</v>
      </c>
      <c r="D107" s="60">
        <v>0.12</v>
      </c>
      <c r="E107" s="60">
        <v>0.0</v>
      </c>
      <c r="F107" s="60">
        <v>0.0</v>
      </c>
      <c r="G107" s="118" t="s">
        <v>409</v>
      </c>
      <c r="H107" s="116"/>
      <c r="I107" s="116"/>
    </row>
    <row r="108">
      <c r="A108" s="117">
        <v>46088.0</v>
      </c>
      <c r="B108" s="60" t="s">
        <v>394</v>
      </c>
      <c r="C108" s="60" t="s">
        <v>342</v>
      </c>
      <c r="D108" s="60">
        <v>0.03</v>
      </c>
      <c r="E108" s="60">
        <v>27.0</v>
      </c>
      <c r="F108" s="60">
        <v>0.8</v>
      </c>
      <c r="G108" s="118" t="s">
        <v>409</v>
      </c>
      <c r="H108" s="116"/>
      <c r="I108" s="116"/>
    </row>
    <row r="109">
      <c r="A109" s="117">
        <v>46088.0</v>
      </c>
      <c r="B109" s="60" t="s">
        <v>394</v>
      </c>
      <c r="C109" s="60" t="s">
        <v>294</v>
      </c>
      <c r="D109" s="60">
        <v>0.05</v>
      </c>
      <c r="E109" s="60">
        <v>54.0</v>
      </c>
      <c r="F109" s="60">
        <v>2.7</v>
      </c>
      <c r="G109" s="118" t="s">
        <v>409</v>
      </c>
      <c r="H109" s="116"/>
      <c r="I109" s="116"/>
    </row>
    <row r="110">
      <c r="A110" s="117">
        <v>46088.0</v>
      </c>
      <c r="B110" s="60" t="s">
        <v>397</v>
      </c>
      <c r="C110" s="60" t="s">
        <v>287</v>
      </c>
      <c r="D110" s="60">
        <v>23.0</v>
      </c>
      <c r="E110" s="60">
        <v>0.5</v>
      </c>
      <c r="F110" s="60">
        <v>11.5</v>
      </c>
      <c r="G110" s="118" t="s">
        <v>409</v>
      </c>
      <c r="H110" s="116"/>
      <c r="I110" s="116"/>
    </row>
    <row r="111">
      <c r="A111" s="117">
        <v>46088.0</v>
      </c>
      <c r="B111" s="60" t="s">
        <v>397</v>
      </c>
      <c r="C111" s="60" t="s">
        <v>233</v>
      </c>
      <c r="D111" s="60">
        <v>0.13</v>
      </c>
      <c r="E111" s="60">
        <v>10.5</v>
      </c>
      <c r="F111" s="60">
        <v>1.4</v>
      </c>
      <c r="G111" s="118" t="s">
        <v>409</v>
      </c>
      <c r="H111" s="116"/>
      <c r="I111" s="116"/>
    </row>
    <row r="112">
      <c r="A112" s="117">
        <v>46088.0</v>
      </c>
      <c r="B112" s="60" t="s">
        <v>397</v>
      </c>
      <c r="C112" s="60" t="s">
        <v>382</v>
      </c>
      <c r="D112" s="60">
        <v>0.3</v>
      </c>
      <c r="E112" s="60">
        <v>3.0</v>
      </c>
      <c r="F112" s="60">
        <v>0.9</v>
      </c>
      <c r="G112" s="118" t="s">
        <v>409</v>
      </c>
      <c r="H112" s="116"/>
      <c r="I112" s="116"/>
    </row>
    <row r="113">
      <c r="A113" s="117">
        <v>46088.0</v>
      </c>
      <c r="B113" s="60" t="s">
        <v>397</v>
      </c>
      <c r="C113" s="60" t="s">
        <v>104</v>
      </c>
      <c r="D113" s="60">
        <v>0.05</v>
      </c>
      <c r="E113" s="60">
        <v>29.0</v>
      </c>
      <c r="F113" s="60">
        <v>1.5</v>
      </c>
      <c r="G113" s="118" t="s">
        <v>409</v>
      </c>
      <c r="H113" s="116"/>
      <c r="I113" s="116"/>
    </row>
    <row r="114">
      <c r="A114" s="117">
        <v>46088.0</v>
      </c>
      <c r="B114" s="60" t="s">
        <v>397</v>
      </c>
      <c r="C114" s="60" t="s">
        <v>383</v>
      </c>
      <c r="D114" s="60">
        <v>0.9</v>
      </c>
      <c r="E114" s="60">
        <v>4.7</v>
      </c>
      <c r="F114" s="60">
        <v>4.2</v>
      </c>
      <c r="G114" s="118" t="s">
        <v>409</v>
      </c>
      <c r="H114" s="116"/>
      <c r="I114" s="116"/>
    </row>
    <row r="115">
      <c r="A115" s="117">
        <v>46088.0</v>
      </c>
      <c r="B115" s="60" t="s">
        <v>398</v>
      </c>
      <c r="C115" s="60" t="s">
        <v>410</v>
      </c>
      <c r="D115" s="60">
        <v>0.08</v>
      </c>
      <c r="E115" s="60">
        <v>25.0</v>
      </c>
      <c r="F115" s="60">
        <v>1.97</v>
      </c>
      <c r="G115" s="118" t="s">
        <v>409</v>
      </c>
      <c r="H115" s="116"/>
      <c r="I115" s="116"/>
    </row>
    <row r="116">
      <c r="A116" s="117">
        <v>46088.0</v>
      </c>
      <c r="B116" s="60" t="s">
        <v>398</v>
      </c>
      <c r="C116" s="60" t="s">
        <v>250</v>
      </c>
      <c r="D116" s="60">
        <v>0.0</v>
      </c>
      <c r="E116" s="60">
        <v>6.0</v>
      </c>
      <c r="F116" s="60">
        <v>0.0</v>
      </c>
      <c r="G116" s="118" t="s">
        <v>409</v>
      </c>
      <c r="H116" s="116"/>
      <c r="I116" s="116"/>
    </row>
    <row r="117">
      <c r="A117" s="117">
        <v>46088.0</v>
      </c>
      <c r="B117" s="60" t="s">
        <v>398</v>
      </c>
      <c r="C117" s="60" t="s">
        <v>323</v>
      </c>
      <c r="D117" s="60">
        <v>0.02</v>
      </c>
      <c r="E117" s="60">
        <v>34.0</v>
      </c>
      <c r="F117" s="60">
        <v>0.7</v>
      </c>
      <c r="G117" s="118" t="s">
        <v>409</v>
      </c>
      <c r="H117" s="116"/>
      <c r="I117" s="116"/>
    </row>
    <row r="118">
      <c r="A118" s="117">
        <v>46088.0</v>
      </c>
      <c r="B118" s="60" t="s">
        <v>395</v>
      </c>
      <c r="C118" s="60" t="s">
        <v>176</v>
      </c>
      <c r="D118" s="60">
        <v>0.0</v>
      </c>
      <c r="E118" s="60">
        <v>1.0</v>
      </c>
      <c r="F118" s="60">
        <v>0.0</v>
      </c>
      <c r="G118" s="118" t="s">
        <v>409</v>
      </c>
      <c r="H118" s="116"/>
      <c r="I118" s="116"/>
    </row>
    <row r="119">
      <c r="A119" s="117">
        <v>46088.0</v>
      </c>
      <c r="B119" s="60" t="s">
        <v>395</v>
      </c>
      <c r="C119" s="60" t="s">
        <v>115</v>
      </c>
      <c r="D119" s="60">
        <v>0.03</v>
      </c>
      <c r="E119" s="60">
        <v>50.0</v>
      </c>
      <c r="F119" s="60">
        <v>1.5</v>
      </c>
      <c r="G119" s="118" t="s">
        <v>409</v>
      </c>
      <c r="H119" s="116"/>
      <c r="I119" s="116"/>
    </row>
    <row r="120">
      <c r="A120" s="117">
        <v>46088.0</v>
      </c>
      <c r="B120" s="60" t="s">
        <v>395</v>
      </c>
      <c r="C120" s="60" t="s">
        <v>102</v>
      </c>
      <c r="D120" s="60">
        <v>0.31</v>
      </c>
      <c r="E120" s="60">
        <v>70.0</v>
      </c>
      <c r="F120" s="60">
        <v>21.7</v>
      </c>
      <c r="G120" s="118" t="s">
        <v>409</v>
      </c>
      <c r="H120" s="116"/>
      <c r="I120" s="116"/>
    </row>
    <row r="121">
      <c r="A121" s="117">
        <v>46088.0</v>
      </c>
      <c r="B121" s="60" t="s">
        <v>395</v>
      </c>
      <c r="C121" s="60" t="s">
        <v>92</v>
      </c>
      <c r="D121" s="60">
        <v>0.15</v>
      </c>
      <c r="E121" s="60">
        <v>4.0</v>
      </c>
      <c r="F121" s="60">
        <v>0.6</v>
      </c>
      <c r="G121" s="118" t="s">
        <v>409</v>
      </c>
      <c r="H121" s="116"/>
      <c r="I121" s="116"/>
    </row>
    <row r="122">
      <c r="A122" s="117">
        <v>46087.0</v>
      </c>
      <c r="B122" s="60" t="s">
        <v>392</v>
      </c>
      <c r="C122" s="60" t="s">
        <v>354</v>
      </c>
      <c r="D122" s="60">
        <v>12.0</v>
      </c>
      <c r="E122" s="60">
        <v>1.0</v>
      </c>
      <c r="F122" s="60">
        <v>12.0</v>
      </c>
      <c r="G122" s="118" t="s">
        <v>411</v>
      </c>
      <c r="H122" s="116"/>
      <c r="I122" s="116"/>
    </row>
    <row r="123">
      <c r="A123" s="117">
        <v>46087.0</v>
      </c>
      <c r="B123" s="60" t="s">
        <v>392</v>
      </c>
      <c r="C123" s="60" t="s">
        <v>212</v>
      </c>
      <c r="D123" s="60">
        <v>0.33</v>
      </c>
      <c r="E123" s="60">
        <v>12.0</v>
      </c>
      <c r="F123" s="60">
        <v>4.0</v>
      </c>
      <c r="G123" s="118" t="s">
        <v>411</v>
      </c>
      <c r="H123" s="116"/>
      <c r="I123" s="116"/>
    </row>
    <row r="124">
      <c r="A124" s="117">
        <v>46087.0</v>
      </c>
      <c r="B124" s="60" t="s">
        <v>392</v>
      </c>
      <c r="C124" s="60" t="s">
        <v>273</v>
      </c>
      <c r="D124" s="60">
        <v>0.09</v>
      </c>
      <c r="E124" s="60">
        <v>45.0</v>
      </c>
      <c r="F124" s="60">
        <v>4.1</v>
      </c>
      <c r="G124" s="118" t="s">
        <v>411</v>
      </c>
      <c r="H124" s="116"/>
      <c r="I124" s="116"/>
    </row>
    <row r="125">
      <c r="A125" s="117">
        <v>46087.0</v>
      </c>
      <c r="B125" s="60" t="s">
        <v>397</v>
      </c>
      <c r="C125" s="60" t="s">
        <v>147</v>
      </c>
      <c r="D125" s="60">
        <v>4.0</v>
      </c>
      <c r="E125" s="60">
        <v>2.0</v>
      </c>
      <c r="F125" s="60">
        <v>8.0</v>
      </c>
      <c r="G125" s="118" t="s">
        <v>411</v>
      </c>
      <c r="H125" s="116"/>
      <c r="I125" s="116"/>
    </row>
    <row r="126">
      <c r="A126" s="117">
        <v>46087.0</v>
      </c>
      <c r="B126" s="60" t="s">
        <v>397</v>
      </c>
      <c r="C126" s="60" t="s">
        <v>155</v>
      </c>
      <c r="D126" s="60">
        <v>1.0</v>
      </c>
      <c r="E126" s="60">
        <v>2.0</v>
      </c>
      <c r="F126" s="60">
        <v>2.0</v>
      </c>
      <c r="G126" s="118" t="s">
        <v>411</v>
      </c>
      <c r="H126" s="116"/>
      <c r="I126" s="116"/>
    </row>
    <row r="127">
      <c r="A127" s="117">
        <v>46087.0</v>
      </c>
      <c r="B127" s="60" t="s">
        <v>397</v>
      </c>
      <c r="C127" s="60" t="s">
        <v>153</v>
      </c>
      <c r="D127" s="60">
        <v>13.3</v>
      </c>
      <c r="E127" s="60">
        <v>1.0</v>
      </c>
      <c r="F127" s="60">
        <v>13.3</v>
      </c>
      <c r="G127" s="118" t="s">
        <v>411</v>
      </c>
      <c r="H127" s="116"/>
      <c r="I127" s="116"/>
    </row>
    <row r="128">
      <c r="A128" s="117">
        <v>46087.0</v>
      </c>
      <c r="B128" s="60" t="s">
        <v>397</v>
      </c>
      <c r="C128" s="60" t="s">
        <v>295</v>
      </c>
      <c r="D128" s="60">
        <v>2.5</v>
      </c>
      <c r="E128" s="60">
        <v>1.0</v>
      </c>
      <c r="F128" s="60">
        <v>2.5</v>
      </c>
      <c r="G128" s="118" t="s">
        <v>411</v>
      </c>
      <c r="H128" s="116"/>
      <c r="I128" s="116"/>
    </row>
    <row r="129">
      <c r="A129" s="117">
        <v>46087.0</v>
      </c>
      <c r="B129" s="60" t="s">
        <v>395</v>
      </c>
      <c r="C129" s="60" t="s">
        <v>93</v>
      </c>
      <c r="D129" s="60">
        <v>0.2</v>
      </c>
      <c r="E129" s="60">
        <v>81.0</v>
      </c>
      <c r="F129" s="60">
        <v>16.2</v>
      </c>
      <c r="G129" s="118" t="s">
        <v>411</v>
      </c>
      <c r="H129" s="116"/>
      <c r="I129" s="116"/>
    </row>
    <row r="130">
      <c r="A130" s="117">
        <v>46087.0</v>
      </c>
      <c r="B130" s="60" t="s">
        <v>395</v>
      </c>
      <c r="C130" s="60" t="s">
        <v>306</v>
      </c>
      <c r="D130" s="60">
        <v>0.04</v>
      </c>
      <c r="E130" s="60">
        <v>40.0</v>
      </c>
      <c r="F130" s="60">
        <v>1.6</v>
      </c>
      <c r="G130" s="118" t="s">
        <v>411</v>
      </c>
      <c r="H130" s="116"/>
      <c r="I130" s="116"/>
    </row>
    <row r="131">
      <c r="A131" s="117">
        <v>46087.0</v>
      </c>
      <c r="B131" s="60" t="s">
        <v>395</v>
      </c>
      <c r="C131" s="60" t="s">
        <v>115</v>
      </c>
      <c r="D131" s="60">
        <v>0.03</v>
      </c>
      <c r="E131" s="60">
        <v>30.0</v>
      </c>
      <c r="F131" s="60">
        <v>0.9</v>
      </c>
      <c r="G131" s="118" t="s">
        <v>411</v>
      </c>
      <c r="H131" s="116"/>
      <c r="I131" s="116"/>
    </row>
    <row r="132">
      <c r="A132" s="117">
        <v>46086.0</v>
      </c>
      <c r="B132" s="60" t="s">
        <v>392</v>
      </c>
      <c r="C132" s="60" t="s">
        <v>147</v>
      </c>
      <c r="D132" s="60">
        <v>4.0</v>
      </c>
      <c r="E132" s="60">
        <v>1.0</v>
      </c>
      <c r="F132" s="60">
        <v>4.0</v>
      </c>
      <c r="G132" s="118" t="s">
        <v>412</v>
      </c>
      <c r="H132" s="116"/>
      <c r="I132" s="116"/>
    </row>
    <row r="133">
      <c r="A133" s="117">
        <v>46086.0</v>
      </c>
      <c r="B133" s="60" t="s">
        <v>392</v>
      </c>
      <c r="C133" s="60" t="s">
        <v>224</v>
      </c>
      <c r="D133" s="60">
        <v>5.0</v>
      </c>
      <c r="E133" s="60">
        <v>1.0</v>
      </c>
      <c r="F133" s="60">
        <v>5.0</v>
      </c>
      <c r="G133" s="118" t="s">
        <v>412</v>
      </c>
      <c r="H133" s="116"/>
      <c r="I133" s="116"/>
    </row>
    <row r="134">
      <c r="A134" s="117">
        <v>46086.0</v>
      </c>
      <c r="B134" s="60" t="s">
        <v>392</v>
      </c>
      <c r="C134" s="60" t="s">
        <v>89</v>
      </c>
      <c r="D134" s="60">
        <v>0.13</v>
      </c>
      <c r="E134" s="60">
        <v>50.0</v>
      </c>
      <c r="F134" s="60">
        <v>6.5</v>
      </c>
      <c r="G134" s="118" t="s">
        <v>412</v>
      </c>
      <c r="H134" s="116"/>
      <c r="I134" s="116"/>
    </row>
    <row r="135">
      <c r="A135" s="117">
        <v>46086.0</v>
      </c>
      <c r="B135" s="60" t="s">
        <v>392</v>
      </c>
      <c r="C135" s="60" t="s">
        <v>354</v>
      </c>
      <c r="D135" s="60">
        <v>12.0</v>
      </c>
      <c r="E135" s="60">
        <v>0.5</v>
      </c>
      <c r="F135" s="60">
        <v>6.0</v>
      </c>
      <c r="G135" s="118" t="s">
        <v>412</v>
      </c>
      <c r="H135" s="116"/>
      <c r="I135" s="116"/>
    </row>
    <row r="136">
      <c r="A136" s="117">
        <v>46086.0</v>
      </c>
      <c r="B136" s="60" t="s">
        <v>392</v>
      </c>
      <c r="C136" s="60" t="s">
        <v>233</v>
      </c>
      <c r="D136" s="60">
        <v>0.13</v>
      </c>
      <c r="E136" s="60">
        <v>9.0</v>
      </c>
      <c r="F136" s="60">
        <v>1.2</v>
      </c>
      <c r="G136" s="118" t="s">
        <v>412</v>
      </c>
      <c r="H136" s="116"/>
      <c r="I136" s="116"/>
    </row>
    <row r="137">
      <c r="A137" s="117">
        <v>46086.0</v>
      </c>
      <c r="B137" s="60" t="s">
        <v>397</v>
      </c>
      <c r="C137" s="60" t="s">
        <v>87</v>
      </c>
      <c r="D137" s="60">
        <v>0.27</v>
      </c>
      <c r="E137" s="60">
        <v>110.0</v>
      </c>
      <c r="F137" s="60">
        <v>29.7</v>
      </c>
      <c r="G137" s="118" t="s">
        <v>412</v>
      </c>
      <c r="H137" s="116"/>
      <c r="I137" s="116"/>
    </row>
    <row r="138">
      <c r="A138" s="117">
        <v>46086.0</v>
      </c>
      <c r="B138" s="60" t="s">
        <v>397</v>
      </c>
      <c r="C138" s="60" t="s">
        <v>153</v>
      </c>
      <c r="D138" s="60">
        <v>13.3</v>
      </c>
      <c r="E138" s="60">
        <v>0.0</v>
      </c>
      <c r="F138" s="60">
        <v>0.0</v>
      </c>
      <c r="G138" s="118" t="s">
        <v>412</v>
      </c>
      <c r="H138" s="116"/>
      <c r="I138" s="116"/>
    </row>
    <row r="139">
      <c r="A139" s="117">
        <v>46086.0</v>
      </c>
      <c r="B139" s="60" t="s">
        <v>397</v>
      </c>
      <c r="C139" s="60" t="s">
        <v>328</v>
      </c>
      <c r="D139" s="60">
        <v>0.07</v>
      </c>
      <c r="E139" s="60">
        <v>17.0</v>
      </c>
      <c r="F139" s="60">
        <v>1.2</v>
      </c>
      <c r="G139" s="118" t="s">
        <v>412</v>
      </c>
      <c r="H139" s="116"/>
      <c r="I139" s="116"/>
    </row>
    <row r="140">
      <c r="A140" s="117">
        <v>46086.0</v>
      </c>
      <c r="B140" s="60" t="s">
        <v>395</v>
      </c>
      <c r="C140" s="60" t="s">
        <v>315</v>
      </c>
      <c r="D140" s="60">
        <v>0.27</v>
      </c>
      <c r="E140" s="60">
        <v>100.0</v>
      </c>
      <c r="F140" s="60">
        <v>27.0</v>
      </c>
      <c r="G140" s="118" t="s">
        <v>412</v>
      </c>
      <c r="H140" s="116"/>
      <c r="I140" s="116"/>
    </row>
    <row r="141">
      <c r="A141" s="117">
        <v>46086.0</v>
      </c>
      <c r="B141" s="60" t="s">
        <v>395</v>
      </c>
      <c r="C141" s="60" t="s">
        <v>340</v>
      </c>
      <c r="D141" s="60">
        <v>0.02</v>
      </c>
      <c r="E141" s="60">
        <v>80.0</v>
      </c>
      <c r="F141" s="60">
        <v>1.6</v>
      </c>
      <c r="G141" s="118" t="s">
        <v>412</v>
      </c>
      <c r="H141" s="116"/>
      <c r="I141" s="116"/>
    </row>
    <row r="142">
      <c r="A142" s="117">
        <v>46086.0</v>
      </c>
      <c r="B142" s="60" t="s">
        <v>395</v>
      </c>
      <c r="C142" s="60" t="s">
        <v>380</v>
      </c>
      <c r="D142" s="60">
        <v>2.0</v>
      </c>
      <c r="E142" s="60">
        <v>1.0</v>
      </c>
      <c r="F142" s="60">
        <v>2.0</v>
      </c>
      <c r="G142" s="118" t="s">
        <v>412</v>
      </c>
      <c r="H142" s="116"/>
      <c r="I142" s="116"/>
    </row>
    <row r="143">
      <c r="A143" s="117">
        <v>46086.0</v>
      </c>
      <c r="B143" s="60" t="s">
        <v>395</v>
      </c>
      <c r="C143" s="60" t="s">
        <v>155</v>
      </c>
      <c r="D143" s="60">
        <v>1.0</v>
      </c>
      <c r="E143" s="60">
        <v>9.0</v>
      </c>
      <c r="F143" s="60">
        <v>9.0</v>
      </c>
      <c r="G143" s="118" t="s">
        <v>412</v>
      </c>
      <c r="H143" s="116"/>
      <c r="I143" s="116"/>
    </row>
    <row r="144">
      <c r="A144" s="117">
        <v>46085.0</v>
      </c>
      <c r="B144" s="60" t="s">
        <v>392</v>
      </c>
      <c r="C144" s="60" t="s">
        <v>170</v>
      </c>
      <c r="D144" s="60">
        <v>0.0</v>
      </c>
      <c r="E144" s="60">
        <v>2.0</v>
      </c>
      <c r="F144" s="60">
        <v>0.0</v>
      </c>
      <c r="G144" s="118" t="s">
        <v>413</v>
      </c>
      <c r="H144" s="116"/>
      <c r="I144" s="116"/>
    </row>
    <row r="145">
      <c r="A145" s="117">
        <v>46085.0</v>
      </c>
      <c r="B145" s="60" t="s">
        <v>392</v>
      </c>
      <c r="C145" s="60" t="s">
        <v>241</v>
      </c>
      <c r="D145" s="60">
        <v>10.0</v>
      </c>
      <c r="E145" s="60">
        <v>0.5</v>
      </c>
      <c r="F145" s="60">
        <v>5.0</v>
      </c>
      <c r="G145" s="118" t="s">
        <v>413</v>
      </c>
      <c r="H145" s="116"/>
      <c r="I145" s="116"/>
    </row>
    <row r="146">
      <c r="A146" s="117">
        <v>46085.0</v>
      </c>
      <c r="B146" s="60" t="s">
        <v>392</v>
      </c>
      <c r="C146" s="60" t="s">
        <v>166</v>
      </c>
      <c r="D146" s="60">
        <v>0.27</v>
      </c>
      <c r="E146" s="60">
        <v>8.0</v>
      </c>
      <c r="F146" s="60">
        <v>2.2</v>
      </c>
      <c r="G146" s="118" t="s">
        <v>413</v>
      </c>
      <c r="H146" s="116"/>
      <c r="I146" s="116"/>
    </row>
    <row r="147">
      <c r="A147" s="117">
        <v>46085.0</v>
      </c>
      <c r="B147" s="60" t="s">
        <v>392</v>
      </c>
      <c r="C147" s="60" t="s">
        <v>111</v>
      </c>
      <c r="D147" s="60">
        <v>0.12</v>
      </c>
      <c r="E147" s="60">
        <v>35.0</v>
      </c>
      <c r="F147" s="60">
        <v>4.2</v>
      </c>
      <c r="G147" s="118" t="s">
        <v>413</v>
      </c>
      <c r="H147" s="116"/>
      <c r="I147" s="116"/>
    </row>
    <row r="148">
      <c r="A148" s="117">
        <v>46085.0</v>
      </c>
      <c r="B148" s="60" t="s">
        <v>392</v>
      </c>
      <c r="C148" s="60" t="s">
        <v>212</v>
      </c>
      <c r="D148" s="60">
        <v>0.33</v>
      </c>
      <c r="E148" s="60">
        <v>12.0</v>
      </c>
      <c r="F148" s="60">
        <v>4.0</v>
      </c>
      <c r="G148" s="118" t="s">
        <v>413</v>
      </c>
      <c r="H148" s="116"/>
      <c r="I148" s="116"/>
    </row>
    <row r="149">
      <c r="A149" s="117">
        <v>46085.0</v>
      </c>
      <c r="B149" s="60" t="s">
        <v>397</v>
      </c>
      <c r="C149" s="60" t="s">
        <v>144</v>
      </c>
      <c r="D149" s="60">
        <v>20.0</v>
      </c>
      <c r="E149" s="60">
        <v>1.0</v>
      </c>
      <c r="F149" s="60">
        <v>20.0</v>
      </c>
      <c r="G149" s="118" t="s">
        <v>413</v>
      </c>
      <c r="H149" s="116"/>
      <c r="I149" s="116"/>
    </row>
    <row r="150">
      <c r="A150" s="117">
        <v>46085.0</v>
      </c>
      <c r="B150" s="60" t="s">
        <v>397</v>
      </c>
      <c r="C150" s="60" t="s">
        <v>244</v>
      </c>
      <c r="D150" s="60">
        <v>2.0</v>
      </c>
      <c r="E150" s="60">
        <v>1.0</v>
      </c>
      <c r="F150" s="60">
        <v>2.0</v>
      </c>
      <c r="G150" s="118" t="s">
        <v>413</v>
      </c>
      <c r="H150" s="116"/>
      <c r="I150" s="116"/>
    </row>
    <row r="151">
      <c r="A151" s="117">
        <v>46085.0</v>
      </c>
      <c r="B151" s="60" t="s">
        <v>397</v>
      </c>
      <c r="C151" s="60" t="s">
        <v>328</v>
      </c>
      <c r="D151" s="60">
        <v>0.07</v>
      </c>
      <c r="E151" s="60">
        <v>10.0</v>
      </c>
      <c r="F151" s="60">
        <v>0.7</v>
      </c>
      <c r="G151" s="118" t="s">
        <v>413</v>
      </c>
      <c r="H151" s="116"/>
      <c r="I151" s="116"/>
    </row>
    <row r="152">
      <c r="A152" s="117">
        <v>46085.0</v>
      </c>
      <c r="B152" s="60" t="s">
        <v>397</v>
      </c>
      <c r="C152" s="60" t="s">
        <v>155</v>
      </c>
      <c r="D152" s="60">
        <v>1.0</v>
      </c>
      <c r="E152" s="60">
        <v>5.9</v>
      </c>
      <c r="F152" s="60">
        <v>5.9</v>
      </c>
      <c r="G152" s="118" t="s">
        <v>413</v>
      </c>
      <c r="H152" s="116"/>
      <c r="I152" s="116"/>
    </row>
    <row r="153">
      <c r="A153" s="117">
        <v>46085.0</v>
      </c>
      <c r="B153" s="60" t="s">
        <v>397</v>
      </c>
      <c r="C153" s="60" t="s">
        <v>273</v>
      </c>
      <c r="D153" s="60">
        <v>0.09</v>
      </c>
      <c r="E153" s="60">
        <v>31.0</v>
      </c>
      <c r="F153" s="60">
        <v>2.8</v>
      </c>
      <c r="G153" s="118" t="s">
        <v>413</v>
      </c>
      <c r="H153" s="116"/>
      <c r="I153" s="116"/>
    </row>
    <row r="154">
      <c r="A154" s="117">
        <v>46085.0</v>
      </c>
      <c r="B154" s="60" t="s">
        <v>395</v>
      </c>
      <c r="C154" s="60" t="s">
        <v>205</v>
      </c>
      <c r="D154" s="60">
        <v>0.08</v>
      </c>
      <c r="E154" s="60">
        <v>35.0</v>
      </c>
      <c r="F154" s="60">
        <v>2.8</v>
      </c>
      <c r="G154" s="118" t="s">
        <v>413</v>
      </c>
      <c r="H154" s="116"/>
      <c r="I154" s="116"/>
    </row>
    <row r="155">
      <c r="A155" s="117">
        <v>46085.0</v>
      </c>
      <c r="B155" s="60" t="s">
        <v>395</v>
      </c>
      <c r="C155" s="60" t="s">
        <v>152</v>
      </c>
      <c r="D155" s="60">
        <v>0.0</v>
      </c>
      <c r="E155" s="60">
        <v>1.0</v>
      </c>
      <c r="F155" s="60">
        <v>0.0</v>
      </c>
      <c r="G155" s="118" t="s">
        <v>413</v>
      </c>
      <c r="H155" s="116"/>
      <c r="I155" s="116"/>
    </row>
    <row r="156">
      <c r="A156" s="117">
        <v>46085.0</v>
      </c>
      <c r="B156" s="60" t="s">
        <v>395</v>
      </c>
      <c r="C156" s="60" t="s">
        <v>189</v>
      </c>
      <c r="D156" s="60">
        <v>0.14</v>
      </c>
      <c r="E156" s="60">
        <v>60.0</v>
      </c>
      <c r="F156" s="60">
        <v>8.4</v>
      </c>
      <c r="G156" s="118" t="s">
        <v>413</v>
      </c>
      <c r="H156" s="116"/>
      <c r="I156" s="116"/>
    </row>
    <row r="157">
      <c r="A157" s="117">
        <v>46085.0</v>
      </c>
      <c r="B157" s="60" t="s">
        <v>395</v>
      </c>
      <c r="C157" s="60" t="s">
        <v>414</v>
      </c>
      <c r="D157" s="60">
        <v>0.14</v>
      </c>
      <c r="E157" s="60">
        <v>90.0</v>
      </c>
      <c r="F157" s="60">
        <v>12.18</v>
      </c>
      <c r="G157" s="118" t="s">
        <v>413</v>
      </c>
      <c r="H157" s="116"/>
      <c r="I157" s="116"/>
    </row>
    <row r="158">
      <c r="A158" s="117">
        <v>46085.0</v>
      </c>
      <c r="B158" s="60" t="s">
        <v>395</v>
      </c>
      <c r="C158" s="60" t="s">
        <v>326</v>
      </c>
      <c r="D158" s="60">
        <v>0.1</v>
      </c>
      <c r="E158" s="60">
        <v>18.0</v>
      </c>
      <c r="F158" s="60">
        <v>1.8</v>
      </c>
      <c r="G158" s="118" t="s">
        <v>413</v>
      </c>
      <c r="H158" s="116"/>
      <c r="I158" s="116"/>
    </row>
    <row r="159">
      <c r="A159" s="117">
        <v>46084.0</v>
      </c>
      <c r="B159" s="60" t="s">
        <v>392</v>
      </c>
      <c r="C159" s="60" t="s">
        <v>241</v>
      </c>
      <c r="D159" s="60">
        <v>10.0</v>
      </c>
      <c r="E159" s="60">
        <v>1.0</v>
      </c>
      <c r="F159" s="60">
        <v>10.0</v>
      </c>
      <c r="G159" s="118" t="s">
        <v>415</v>
      </c>
      <c r="H159" s="116"/>
      <c r="I159" s="116"/>
    </row>
    <row r="160">
      <c r="A160" s="117">
        <v>46084.0</v>
      </c>
      <c r="B160" s="60" t="s">
        <v>392</v>
      </c>
      <c r="C160" s="60" t="s">
        <v>375</v>
      </c>
      <c r="D160" s="60">
        <v>0.03</v>
      </c>
      <c r="E160" s="60">
        <v>33.0</v>
      </c>
      <c r="F160" s="60">
        <v>1.0</v>
      </c>
      <c r="G160" s="118" t="s">
        <v>415</v>
      </c>
      <c r="H160" s="116"/>
      <c r="I160" s="116"/>
    </row>
    <row r="161">
      <c r="A161" s="117">
        <v>46084.0</v>
      </c>
      <c r="B161" s="60" t="s">
        <v>392</v>
      </c>
      <c r="C161" s="60" t="s">
        <v>294</v>
      </c>
      <c r="D161" s="60">
        <v>0.05</v>
      </c>
      <c r="E161" s="60">
        <v>38.0</v>
      </c>
      <c r="F161" s="60">
        <v>1.9</v>
      </c>
      <c r="G161" s="118" t="s">
        <v>415</v>
      </c>
      <c r="H161" s="116"/>
      <c r="I161" s="116"/>
    </row>
    <row r="162">
      <c r="A162" s="117">
        <v>46084.0</v>
      </c>
      <c r="B162" s="60" t="s">
        <v>392</v>
      </c>
      <c r="C162" s="60" t="s">
        <v>202</v>
      </c>
      <c r="D162" s="60">
        <v>0.17</v>
      </c>
      <c r="E162" s="60">
        <v>25.0</v>
      </c>
      <c r="F162" s="60">
        <v>4.3</v>
      </c>
      <c r="G162" s="118" t="s">
        <v>415</v>
      </c>
      <c r="H162" s="116"/>
      <c r="I162" s="116"/>
    </row>
    <row r="163">
      <c r="A163" s="117">
        <v>46084.0</v>
      </c>
      <c r="B163" s="60" t="s">
        <v>392</v>
      </c>
      <c r="C163" s="60" t="s">
        <v>125</v>
      </c>
      <c r="D163" s="60">
        <v>0.08</v>
      </c>
      <c r="E163" s="60">
        <v>35.0</v>
      </c>
      <c r="F163" s="60">
        <v>2.8</v>
      </c>
      <c r="G163" s="118" t="s">
        <v>415</v>
      </c>
      <c r="H163" s="116"/>
      <c r="I163" s="116"/>
    </row>
    <row r="164">
      <c r="A164" s="117">
        <v>46084.0</v>
      </c>
      <c r="B164" s="60" t="s">
        <v>397</v>
      </c>
      <c r="C164" s="60" t="s">
        <v>187</v>
      </c>
      <c r="D164" s="60">
        <v>2.0</v>
      </c>
      <c r="E164" s="60">
        <v>1.5</v>
      </c>
      <c r="F164" s="60">
        <v>3.0</v>
      </c>
      <c r="G164" s="118" t="s">
        <v>415</v>
      </c>
      <c r="H164" s="116"/>
      <c r="I164" s="116"/>
    </row>
    <row r="165">
      <c r="A165" s="117">
        <v>46084.0</v>
      </c>
      <c r="B165" s="60" t="s">
        <v>397</v>
      </c>
      <c r="C165" s="60" t="s">
        <v>328</v>
      </c>
      <c r="D165" s="60">
        <v>0.07</v>
      </c>
      <c r="E165" s="60">
        <v>21.0</v>
      </c>
      <c r="F165" s="60">
        <v>1.5</v>
      </c>
      <c r="G165" s="118" t="s">
        <v>415</v>
      </c>
      <c r="H165" s="116"/>
      <c r="I165" s="116"/>
    </row>
    <row r="166">
      <c r="A166" s="117">
        <v>46084.0</v>
      </c>
      <c r="B166" s="60" t="s">
        <v>397</v>
      </c>
      <c r="C166" s="60" t="s">
        <v>295</v>
      </c>
      <c r="D166" s="60">
        <v>2.5</v>
      </c>
      <c r="E166" s="60">
        <v>1.0</v>
      </c>
      <c r="F166" s="60">
        <v>2.5</v>
      </c>
      <c r="G166" s="118" t="s">
        <v>415</v>
      </c>
      <c r="H166" s="116"/>
      <c r="I166" s="116"/>
    </row>
    <row r="167">
      <c r="A167" s="117">
        <v>46084.0</v>
      </c>
      <c r="B167" s="60" t="s">
        <v>397</v>
      </c>
      <c r="C167" s="60" t="s">
        <v>155</v>
      </c>
      <c r="D167" s="60">
        <v>1.0</v>
      </c>
      <c r="E167" s="60">
        <v>1.0</v>
      </c>
      <c r="F167" s="60">
        <v>1.0</v>
      </c>
      <c r="G167" s="118" t="s">
        <v>415</v>
      </c>
      <c r="H167" s="116"/>
      <c r="I167" s="116"/>
    </row>
    <row r="168">
      <c r="A168" s="117">
        <v>46084.0</v>
      </c>
      <c r="B168" s="60" t="s">
        <v>397</v>
      </c>
      <c r="C168" s="60" t="s">
        <v>147</v>
      </c>
      <c r="D168" s="60">
        <v>4.0</v>
      </c>
      <c r="E168" s="60">
        <v>2.0</v>
      </c>
      <c r="F168" s="60">
        <v>8.0</v>
      </c>
      <c r="G168" s="118" t="s">
        <v>415</v>
      </c>
      <c r="H168" s="116"/>
      <c r="I168" s="116"/>
    </row>
    <row r="169">
      <c r="A169" s="117">
        <v>46084.0</v>
      </c>
      <c r="B169" s="60" t="s">
        <v>398</v>
      </c>
      <c r="C169" s="60" t="s">
        <v>416</v>
      </c>
      <c r="D169" s="60">
        <v>0.17</v>
      </c>
      <c r="E169" s="60">
        <v>35.0</v>
      </c>
      <c r="F169" s="60">
        <v>6.0</v>
      </c>
      <c r="G169" s="118" t="s">
        <v>415</v>
      </c>
      <c r="H169" s="116"/>
      <c r="I169" s="116"/>
    </row>
    <row r="170">
      <c r="A170" s="117">
        <v>46084.0</v>
      </c>
      <c r="B170" s="60" t="s">
        <v>398</v>
      </c>
      <c r="C170" s="60" t="s">
        <v>376</v>
      </c>
      <c r="D170" s="60">
        <v>0.05</v>
      </c>
      <c r="E170" s="60">
        <v>61.0</v>
      </c>
      <c r="F170" s="60">
        <v>3.1</v>
      </c>
      <c r="G170" s="118" t="s">
        <v>415</v>
      </c>
      <c r="H170" s="116"/>
      <c r="I170" s="116"/>
    </row>
    <row r="171">
      <c r="A171" s="117">
        <v>46084.0</v>
      </c>
      <c r="B171" s="60" t="s">
        <v>395</v>
      </c>
      <c r="C171" s="60" t="s">
        <v>93</v>
      </c>
      <c r="D171" s="60">
        <v>0.2</v>
      </c>
      <c r="E171" s="60">
        <v>75.0</v>
      </c>
      <c r="F171" s="60">
        <v>15.0</v>
      </c>
      <c r="G171" s="118" t="s">
        <v>415</v>
      </c>
      <c r="H171" s="116"/>
      <c r="I171" s="116"/>
    </row>
    <row r="172">
      <c r="A172" s="117">
        <v>46084.0</v>
      </c>
      <c r="B172" s="60" t="s">
        <v>395</v>
      </c>
      <c r="C172" s="60" t="s">
        <v>417</v>
      </c>
      <c r="D172" s="60">
        <v>0.09</v>
      </c>
      <c r="E172" s="60">
        <v>120.0</v>
      </c>
      <c r="F172" s="60">
        <v>11.25</v>
      </c>
      <c r="G172" s="118" t="s">
        <v>415</v>
      </c>
      <c r="H172" s="116"/>
      <c r="I172" s="116"/>
    </row>
    <row r="173">
      <c r="A173" s="117">
        <v>46083.0</v>
      </c>
      <c r="B173" s="60" t="s">
        <v>392</v>
      </c>
      <c r="C173" s="60" t="s">
        <v>241</v>
      </c>
      <c r="D173" s="60">
        <v>10.0</v>
      </c>
      <c r="E173" s="60">
        <v>1.5</v>
      </c>
      <c r="F173" s="60">
        <v>15.0</v>
      </c>
      <c r="G173" s="118" t="s">
        <v>418</v>
      </c>
      <c r="H173" s="116"/>
      <c r="I173" s="116"/>
    </row>
    <row r="174">
      <c r="A174" s="117">
        <v>46083.0</v>
      </c>
      <c r="B174" s="60" t="s">
        <v>392</v>
      </c>
      <c r="C174" s="60" t="s">
        <v>233</v>
      </c>
      <c r="D174" s="60">
        <v>0.13</v>
      </c>
      <c r="E174" s="60">
        <v>18.0</v>
      </c>
      <c r="F174" s="60">
        <v>2.3</v>
      </c>
      <c r="G174" s="118" t="s">
        <v>418</v>
      </c>
      <c r="H174" s="116"/>
      <c r="I174" s="116"/>
    </row>
    <row r="175">
      <c r="A175" s="117">
        <v>46083.0</v>
      </c>
      <c r="B175" s="60" t="s">
        <v>392</v>
      </c>
      <c r="C175" s="60" t="s">
        <v>98</v>
      </c>
      <c r="D175" s="60">
        <v>0.18</v>
      </c>
      <c r="E175" s="60">
        <v>45.0</v>
      </c>
      <c r="F175" s="60">
        <v>8.1</v>
      </c>
      <c r="G175" s="118" t="s">
        <v>418</v>
      </c>
      <c r="H175" s="116"/>
      <c r="I175" s="116"/>
    </row>
    <row r="176">
      <c r="A176" s="117">
        <v>46083.0</v>
      </c>
      <c r="B176" s="60" t="s">
        <v>394</v>
      </c>
      <c r="C176" s="60" t="s">
        <v>89</v>
      </c>
      <c r="D176" s="60">
        <v>0.13</v>
      </c>
      <c r="E176" s="60">
        <v>40.0</v>
      </c>
      <c r="F176" s="60">
        <v>5.2</v>
      </c>
      <c r="G176" s="118" t="s">
        <v>418</v>
      </c>
      <c r="H176" s="116"/>
      <c r="I176" s="116"/>
    </row>
    <row r="177">
      <c r="A177" s="117">
        <v>46083.0</v>
      </c>
      <c r="B177" s="60" t="s">
        <v>394</v>
      </c>
      <c r="C177" s="60" t="s">
        <v>325</v>
      </c>
      <c r="D177" s="60">
        <v>0.05</v>
      </c>
      <c r="E177" s="60">
        <v>30.0</v>
      </c>
      <c r="F177" s="60">
        <v>1.5</v>
      </c>
      <c r="G177" s="118" t="s">
        <v>418</v>
      </c>
      <c r="H177" s="116"/>
      <c r="I177" s="116"/>
    </row>
    <row r="178">
      <c r="A178" s="117">
        <v>46083.0</v>
      </c>
      <c r="B178" s="60" t="s">
        <v>394</v>
      </c>
      <c r="C178" s="60" t="s">
        <v>374</v>
      </c>
      <c r="D178" s="60">
        <v>0.04</v>
      </c>
      <c r="E178" s="60">
        <v>44.0</v>
      </c>
      <c r="F178" s="60">
        <v>1.8</v>
      </c>
      <c r="G178" s="118" t="s">
        <v>418</v>
      </c>
      <c r="H178" s="116"/>
      <c r="I178" s="116"/>
    </row>
    <row r="179">
      <c r="A179" s="117">
        <v>46083.0</v>
      </c>
      <c r="B179" s="60" t="s">
        <v>397</v>
      </c>
      <c r="C179" s="60" t="s">
        <v>170</v>
      </c>
      <c r="D179" s="60">
        <v>0.0</v>
      </c>
      <c r="E179" s="60">
        <v>2.0</v>
      </c>
      <c r="F179" s="60">
        <v>0.0</v>
      </c>
      <c r="G179" s="118" t="s">
        <v>418</v>
      </c>
      <c r="H179" s="116"/>
      <c r="I179" s="116"/>
    </row>
    <row r="180">
      <c r="A180" s="117">
        <v>46083.0</v>
      </c>
      <c r="B180" s="60" t="s">
        <v>397</v>
      </c>
      <c r="C180" s="60" t="s">
        <v>241</v>
      </c>
      <c r="D180" s="60">
        <v>10.0</v>
      </c>
      <c r="E180" s="60">
        <v>1.0</v>
      </c>
      <c r="F180" s="60">
        <v>10.0</v>
      </c>
      <c r="G180" s="118" t="s">
        <v>418</v>
      </c>
      <c r="H180" s="116"/>
      <c r="I180" s="116"/>
    </row>
    <row r="181">
      <c r="A181" s="117">
        <v>46083.0</v>
      </c>
      <c r="B181" s="60" t="s">
        <v>397</v>
      </c>
      <c r="C181" s="60" t="s">
        <v>212</v>
      </c>
      <c r="D181" s="60">
        <v>0.33</v>
      </c>
      <c r="E181" s="60">
        <v>12.0</v>
      </c>
      <c r="F181" s="60">
        <v>4.0</v>
      </c>
      <c r="G181" s="118" t="s">
        <v>418</v>
      </c>
      <c r="H181" s="116"/>
      <c r="I181" s="116"/>
    </row>
    <row r="182">
      <c r="A182" s="117">
        <v>46083.0</v>
      </c>
      <c r="B182" s="60" t="s">
        <v>397</v>
      </c>
      <c r="C182" s="60" t="s">
        <v>111</v>
      </c>
      <c r="D182" s="60">
        <v>0.12</v>
      </c>
      <c r="E182" s="60">
        <v>35.0</v>
      </c>
      <c r="F182" s="60">
        <v>4.2</v>
      </c>
      <c r="G182" s="118" t="s">
        <v>418</v>
      </c>
      <c r="H182" s="116"/>
      <c r="I182" s="116"/>
    </row>
    <row r="183">
      <c r="A183" s="117">
        <v>46083.0</v>
      </c>
      <c r="B183" s="60" t="s">
        <v>397</v>
      </c>
      <c r="C183" s="60" t="s">
        <v>158</v>
      </c>
      <c r="D183" s="60">
        <v>4.0</v>
      </c>
      <c r="E183" s="60">
        <v>1.0</v>
      </c>
      <c r="F183" s="60">
        <v>4.0</v>
      </c>
      <c r="G183" s="118" t="s">
        <v>418</v>
      </c>
      <c r="H183" s="116"/>
      <c r="I183" s="116"/>
    </row>
    <row r="184">
      <c r="A184" s="117">
        <v>46083.0</v>
      </c>
      <c r="B184" s="60" t="s">
        <v>395</v>
      </c>
      <c r="C184" s="60" t="s">
        <v>176</v>
      </c>
      <c r="D184" s="60">
        <v>0.0</v>
      </c>
      <c r="E184" s="60">
        <v>1.0</v>
      </c>
      <c r="F184" s="60">
        <v>0.0</v>
      </c>
      <c r="G184" s="118" t="s">
        <v>418</v>
      </c>
      <c r="H184" s="116"/>
      <c r="I184" s="116"/>
    </row>
    <row r="185">
      <c r="A185" s="117">
        <v>46083.0</v>
      </c>
      <c r="B185" s="60" t="s">
        <v>395</v>
      </c>
      <c r="C185" s="60" t="s">
        <v>92</v>
      </c>
      <c r="D185" s="60">
        <v>0.15</v>
      </c>
      <c r="E185" s="60">
        <v>5.0</v>
      </c>
      <c r="F185" s="60">
        <v>0.8</v>
      </c>
      <c r="G185" s="118" t="s">
        <v>418</v>
      </c>
      <c r="H185" s="116"/>
      <c r="I185" s="116"/>
    </row>
    <row r="186">
      <c r="A186" s="117">
        <v>46083.0</v>
      </c>
      <c r="B186" s="60" t="s">
        <v>395</v>
      </c>
      <c r="C186" s="60" t="s">
        <v>293</v>
      </c>
      <c r="D186" s="60">
        <v>0.19</v>
      </c>
      <c r="E186" s="60">
        <v>50.0</v>
      </c>
      <c r="F186" s="60">
        <v>9.5</v>
      </c>
      <c r="G186" s="118" t="s">
        <v>418</v>
      </c>
      <c r="H186" s="116"/>
      <c r="I186" s="116"/>
    </row>
    <row r="187">
      <c r="A187" s="117">
        <v>46082.0</v>
      </c>
      <c r="B187" s="60" t="s">
        <v>392</v>
      </c>
      <c r="C187" s="60" t="s">
        <v>241</v>
      </c>
      <c r="D187" s="60">
        <v>10.0</v>
      </c>
      <c r="E187" s="60">
        <v>2.0</v>
      </c>
      <c r="F187" s="60">
        <v>20.0</v>
      </c>
      <c r="G187" s="118" t="s">
        <v>419</v>
      </c>
      <c r="H187" s="116"/>
      <c r="I187" s="116"/>
    </row>
    <row r="188">
      <c r="A188" s="117">
        <v>46082.0</v>
      </c>
      <c r="B188" s="60" t="s">
        <v>392</v>
      </c>
      <c r="C188" s="60" t="s">
        <v>212</v>
      </c>
      <c r="D188" s="60">
        <v>0.33</v>
      </c>
      <c r="E188" s="60">
        <v>10.0</v>
      </c>
      <c r="F188" s="60">
        <v>3.3</v>
      </c>
      <c r="G188" s="118" t="s">
        <v>419</v>
      </c>
      <c r="H188" s="116"/>
      <c r="I188" s="116"/>
    </row>
    <row r="189">
      <c r="A189" s="117">
        <v>46082.0</v>
      </c>
      <c r="B189" s="60" t="s">
        <v>392</v>
      </c>
      <c r="C189" s="60" t="s">
        <v>125</v>
      </c>
      <c r="D189" s="60">
        <v>0.08</v>
      </c>
      <c r="E189" s="60">
        <v>50.0</v>
      </c>
      <c r="F189" s="60">
        <v>4.0</v>
      </c>
      <c r="G189" s="118" t="s">
        <v>419</v>
      </c>
      <c r="H189" s="116"/>
      <c r="I189" s="116"/>
    </row>
    <row r="190">
      <c r="A190" s="117">
        <v>46082.0</v>
      </c>
      <c r="B190" s="60" t="s">
        <v>397</v>
      </c>
      <c r="C190" s="60" t="s">
        <v>87</v>
      </c>
      <c r="D190" s="60">
        <v>0.27</v>
      </c>
      <c r="E190" s="60">
        <v>51.0</v>
      </c>
      <c r="F190" s="60">
        <v>13.8</v>
      </c>
      <c r="G190" s="118" t="s">
        <v>419</v>
      </c>
      <c r="H190" s="116"/>
      <c r="I190" s="116"/>
    </row>
    <row r="191">
      <c r="A191" s="117">
        <v>46082.0</v>
      </c>
      <c r="B191" s="60" t="s">
        <v>397</v>
      </c>
      <c r="C191" s="60" t="s">
        <v>326</v>
      </c>
      <c r="D191" s="60">
        <v>0.1</v>
      </c>
      <c r="E191" s="60">
        <v>8.0</v>
      </c>
      <c r="F191" s="60">
        <v>0.8</v>
      </c>
      <c r="G191" s="118" t="s">
        <v>419</v>
      </c>
      <c r="H191" s="116"/>
      <c r="I191" s="116"/>
    </row>
    <row r="192">
      <c r="A192" s="117">
        <v>46082.0</v>
      </c>
      <c r="B192" s="60" t="s">
        <v>397</v>
      </c>
      <c r="C192" s="60" t="s">
        <v>295</v>
      </c>
      <c r="D192" s="60">
        <v>2.5</v>
      </c>
      <c r="E192" s="60">
        <v>1.0</v>
      </c>
      <c r="F192" s="60">
        <v>2.5</v>
      </c>
      <c r="G192" s="118" t="s">
        <v>419</v>
      </c>
      <c r="H192" s="116"/>
      <c r="I192" s="116"/>
    </row>
    <row r="193">
      <c r="A193" s="117">
        <v>46082.0</v>
      </c>
      <c r="B193" s="60" t="s">
        <v>395</v>
      </c>
      <c r="C193" s="60" t="s">
        <v>102</v>
      </c>
      <c r="D193" s="60">
        <v>0.31</v>
      </c>
      <c r="E193" s="60">
        <v>60.0</v>
      </c>
      <c r="F193" s="60">
        <v>18.6</v>
      </c>
      <c r="G193" s="118" t="s">
        <v>419</v>
      </c>
      <c r="H193" s="116"/>
      <c r="I193" s="116"/>
    </row>
    <row r="194">
      <c r="A194" s="117">
        <v>46082.0</v>
      </c>
      <c r="B194" s="60" t="s">
        <v>395</v>
      </c>
      <c r="C194" s="60" t="s">
        <v>108</v>
      </c>
      <c r="D194" s="60">
        <v>7.0</v>
      </c>
      <c r="E194" s="60">
        <v>1.0</v>
      </c>
      <c r="F194" s="60">
        <v>7.0</v>
      </c>
      <c r="G194" s="118" t="s">
        <v>419</v>
      </c>
      <c r="H194" s="116"/>
      <c r="I194" s="116"/>
    </row>
    <row r="195">
      <c r="A195" s="117">
        <v>46082.0</v>
      </c>
      <c r="B195" s="60" t="s">
        <v>395</v>
      </c>
      <c r="C195" s="60" t="s">
        <v>420</v>
      </c>
      <c r="D195" s="60">
        <v>0.05</v>
      </c>
      <c r="E195" s="60">
        <v>46.0</v>
      </c>
      <c r="F195" s="60">
        <v>2.3</v>
      </c>
      <c r="G195" s="118" t="s">
        <v>419</v>
      </c>
      <c r="H195" s="116"/>
      <c r="I195" s="116"/>
    </row>
    <row r="196">
      <c r="A196" s="117">
        <v>46082.0</v>
      </c>
      <c r="B196" s="60" t="s">
        <v>395</v>
      </c>
      <c r="C196" s="60" t="s">
        <v>328</v>
      </c>
      <c r="D196" s="60">
        <v>0.07</v>
      </c>
      <c r="E196" s="60">
        <v>20.0</v>
      </c>
      <c r="F196" s="60">
        <v>1.4</v>
      </c>
      <c r="G196" s="118" t="s">
        <v>419</v>
      </c>
      <c r="H196" s="116"/>
      <c r="I196" s="116"/>
    </row>
    <row r="197">
      <c r="A197" s="117">
        <v>46081.93068730324</v>
      </c>
      <c r="B197" s="60" t="s">
        <v>392</v>
      </c>
      <c r="C197" s="60" t="s">
        <v>421</v>
      </c>
      <c r="D197" s="60">
        <v>0.05</v>
      </c>
      <c r="E197" s="60">
        <v>100.0</v>
      </c>
      <c r="F197" s="60">
        <v>4.98</v>
      </c>
      <c r="G197" s="118" t="s">
        <v>422</v>
      </c>
      <c r="H197" s="116"/>
      <c r="I197" s="116"/>
    </row>
    <row r="198">
      <c r="A198" s="117">
        <v>46081.93068730324</v>
      </c>
      <c r="B198" s="60" t="s">
        <v>392</v>
      </c>
      <c r="C198" s="60" t="s">
        <v>325</v>
      </c>
      <c r="D198" s="60">
        <v>0.05</v>
      </c>
      <c r="E198" s="60">
        <v>50.0</v>
      </c>
      <c r="F198" s="60">
        <v>2.5</v>
      </c>
      <c r="G198" s="118" t="s">
        <v>422</v>
      </c>
      <c r="H198" s="116"/>
      <c r="I198" s="116"/>
    </row>
    <row r="199">
      <c r="A199" s="117">
        <v>46081.93068730324</v>
      </c>
      <c r="B199" s="60" t="s">
        <v>392</v>
      </c>
      <c r="C199" s="60" t="s">
        <v>323</v>
      </c>
      <c r="D199" s="60">
        <v>0.02</v>
      </c>
      <c r="E199" s="60">
        <v>50.0</v>
      </c>
      <c r="F199" s="60">
        <v>1.0</v>
      </c>
      <c r="G199" s="118" t="s">
        <v>422</v>
      </c>
      <c r="H199" s="116"/>
      <c r="I199" s="116"/>
    </row>
    <row r="200">
      <c r="A200" s="117">
        <v>46081.93068730324</v>
      </c>
      <c r="B200" s="60" t="s">
        <v>397</v>
      </c>
      <c r="C200" s="60" t="s">
        <v>423</v>
      </c>
      <c r="D200" s="60">
        <v>19.0</v>
      </c>
      <c r="E200" s="60">
        <v>1.0</v>
      </c>
      <c r="F200" s="60">
        <v>19.0</v>
      </c>
      <c r="G200" s="118" t="s">
        <v>422</v>
      </c>
      <c r="H200" s="116"/>
      <c r="I200" s="116"/>
    </row>
    <row r="201">
      <c r="A201" s="117">
        <v>46081.93068730324</v>
      </c>
      <c r="B201" s="60" t="s">
        <v>397</v>
      </c>
      <c r="C201" s="60" t="s">
        <v>233</v>
      </c>
      <c r="D201" s="60">
        <v>0.13</v>
      </c>
      <c r="E201" s="60">
        <v>13.0</v>
      </c>
      <c r="F201" s="60">
        <v>1.7</v>
      </c>
      <c r="G201" s="118" t="s">
        <v>422</v>
      </c>
      <c r="H201" s="116"/>
      <c r="I201" s="116"/>
    </row>
    <row r="202">
      <c r="A202" s="117">
        <v>46081.93068730324</v>
      </c>
      <c r="B202" s="60" t="s">
        <v>397</v>
      </c>
      <c r="C202" s="60" t="s">
        <v>424</v>
      </c>
      <c r="D202" s="60">
        <v>0.27</v>
      </c>
      <c r="E202" s="60">
        <v>12.0</v>
      </c>
      <c r="F202" s="60">
        <v>3.2</v>
      </c>
      <c r="G202" s="118" t="s">
        <v>422</v>
      </c>
      <c r="H202" s="116"/>
      <c r="I202" s="116"/>
    </row>
    <row r="203">
      <c r="A203" s="117">
        <v>46081.93068730324</v>
      </c>
      <c r="B203" s="60" t="s">
        <v>397</v>
      </c>
      <c r="C203" s="60" t="s">
        <v>425</v>
      </c>
      <c r="D203" s="60">
        <v>5.0</v>
      </c>
      <c r="E203" s="60">
        <v>0.5</v>
      </c>
      <c r="F203" s="60">
        <v>2.5</v>
      </c>
      <c r="G203" s="118" t="s">
        <v>422</v>
      </c>
      <c r="H203" s="116"/>
      <c r="I203" s="116"/>
    </row>
    <row r="204">
      <c r="A204" s="117">
        <v>46081.93068730324</v>
      </c>
      <c r="B204" s="60" t="s">
        <v>398</v>
      </c>
      <c r="C204" s="60" t="s">
        <v>125</v>
      </c>
      <c r="D204" s="60">
        <v>0.08</v>
      </c>
      <c r="E204" s="60">
        <v>51.0</v>
      </c>
      <c r="F204" s="60">
        <v>4.1</v>
      </c>
      <c r="G204" s="118" t="s">
        <v>422</v>
      </c>
      <c r="H204" s="116"/>
      <c r="I204" s="116"/>
    </row>
    <row r="205">
      <c r="A205" s="117">
        <v>46081.93068730324</v>
      </c>
      <c r="B205" s="60" t="s">
        <v>395</v>
      </c>
      <c r="C205" s="60" t="s">
        <v>87</v>
      </c>
      <c r="D205" s="60">
        <v>0.27</v>
      </c>
      <c r="E205" s="60">
        <v>110.0</v>
      </c>
      <c r="F205" s="60">
        <v>29.7</v>
      </c>
      <c r="G205" s="118" t="s">
        <v>422</v>
      </c>
      <c r="H205" s="116"/>
      <c r="I205" s="116"/>
    </row>
    <row r="206">
      <c r="A206" s="117">
        <v>46081.93068730324</v>
      </c>
      <c r="B206" s="60" t="s">
        <v>395</v>
      </c>
      <c r="C206" s="60" t="s">
        <v>326</v>
      </c>
      <c r="D206" s="60">
        <v>0.1</v>
      </c>
      <c r="E206" s="60">
        <v>10.0</v>
      </c>
      <c r="F206" s="60">
        <v>1.0</v>
      </c>
      <c r="G206" s="118" t="s">
        <v>422</v>
      </c>
      <c r="H206" s="116"/>
      <c r="I206" s="116"/>
    </row>
    <row r="207">
      <c r="A207" s="117">
        <v>46081.93068730324</v>
      </c>
      <c r="B207" s="60" t="s">
        <v>395</v>
      </c>
      <c r="C207" s="60" t="s">
        <v>205</v>
      </c>
      <c r="D207" s="60">
        <v>0.08</v>
      </c>
      <c r="E207" s="60">
        <v>30.0</v>
      </c>
      <c r="F207" s="60">
        <v>2.4</v>
      </c>
      <c r="G207" s="118" t="s">
        <v>422</v>
      </c>
      <c r="H207" s="116"/>
      <c r="I207" s="116"/>
    </row>
    <row r="208">
      <c r="A208" s="117">
        <v>46081.93068730324</v>
      </c>
      <c r="B208" s="60" t="s">
        <v>395</v>
      </c>
      <c r="C208" s="60" t="s">
        <v>426</v>
      </c>
      <c r="D208" s="60">
        <v>1.0</v>
      </c>
      <c r="E208" s="60">
        <v>5.0</v>
      </c>
      <c r="F208" s="60">
        <v>5.0</v>
      </c>
      <c r="G208" s="118" t="s">
        <v>422</v>
      </c>
      <c r="H208" s="116"/>
      <c r="I208" s="116"/>
    </row>
    <row r="209">
      <c r="A209" s="117">
        <v>46080.930692951384</v>
      </c>
      <c r="B209" s="60" t="s">
        <v>392</v>
      </c>
      <c r="C209" s="60" t="s">
        <v>427</v>
      </c>
      <c r="D209" s="60">
        <v>0.03</v>
      </c>
      <c r="E209" s="60">
        <v>4.5</v>
      </c>
      <c r="F209" s="60">
        <v>0.1</v>
      </c>
      <c r="G209" s="118" t="s">
        <v>428</v>
      </c>
      <c r="H209" s="116"/>
      <c r="I209" s="116"/>
    </row>
    <row r="210">
      <c r="A210" s="117">
        <v>46080.930692951384</v>
      </c>
      <c r="B210" s="60" t="s">
        <v>392</v>
      </c>
      <c r="C210" s="60" t="s">
        <v>136</v>
      </c>
      <c r="D210" s="60">
        <v>0.07</v>
      </c>
      <c r="E210" s="60">
        <v>1.0</v>
      </c>
      <c r="F210" s="60">
        <v>0.1</v>
      </c>
      <c r="G210" s="118" t="s">
        <v>428</v>
      </c>
      <c r="H210" s="116"/>
      <c r="I210" s="116"/>
    </row>
    <row r="211">
      <c r="A211" s="117">
        <v>46080.930692951384</v>
      </c>
      <c r="B211" s="60" t="s">
        <v>392</v>
      </c>
      <c r="C211" s="60" t="s">
        <v>294</v>
      </c>
      <c r="D211" s="60">
        <v>0.05</v>
      </c>
      <c r="E211" s="60">
        <v>39.0</v>
      </c>
      <c r="F211" s="60">
        <v>2.0</v>
      </c>
      <c r="G211" s="118" t="s">
        <v>428</v>
      </c>
      <c r="H211" s="116"/>
      <c r="I211" s="116"/>
    </row>
    <row r="212">
      <c r="A212" s="117">
        <v>46080.930692951384</v>
      </c>
      <c r="B212" s="60" t="s">
        <v>392</v>
      </c>
      <c r="C212" s="60" t="s">
        <v>323</v>
      </c>
      <c r="D212" s="60">
        <v>0.02</v>
      </c>
      <c r="E212" s="60">
        <v>2.5</v>
      </c>
      <c r="F212" s="60">
        <v>0.1</v>
      </c>
      <c r="G212" s="118" t="s">
        <v>428</v>
      </c>
      <c r="H212" s="116"/>
      <c r="I212" s="116"/>
    </row>
    <row r="213">
      <c r="A213" s="117">
        <v>46080.930692951384</v>
      </c>
      <c r="B213" s="60" t="s">
        <v>392</v>
      </c>
      <c r="C213" s="60" t="s">
        <v>429</v>
      </c>
      <c r="D213" s="60">
        <v>10.0</v>
      </c>
      <c r="E213" s="60">
        <v>1.0</v>
      </c>
      <c r="F213" s="60">
        <v>10.0</v>
      </c>
      <c r="G213" s="118" t="s">
        <v>428</v>
      </c>
      <c r="H213" s="116"/>
      <c r="I213" s="116"/>
    </row>
    <row r="214">
      <c r="A214" s="117">
        <v>46080.930692951384</v>
      </c>
      <c r="B214" s="60" t="s">
        <v>392</v>
      </c>
      <c r="C214" s="60" t="s">
        <v>233</v>
      </c>
      <c r="D214" s="60">
        <v>0.13</v>
      </c>
      <c r="E214" s="60">
        <v>12.0</v>
      </c>
      <c r="F214" s="60">
        <v>1.6</v>
      </c>
      <c r="G214" s="118" t="s">
        <v>428</v>
      </c>
      <c r="H214" s="116"/>
      <c r="I214" s="116"/>
    </row>
    <row r="215">
      <c r="A215" s="117">
        <v>46080.930692951384</v>
      </c>
      <c r="B215" s="60" t="s">
        <v>398</v>
      </c>
      <c r="C215" s="60" t="s">
        <v>125</v>
      </c>
      <c r="D215" s="60">
        <v>0.08</v>
      </c>
      <c r="E215" s="60">
        <v>102.0</v>
      </c>
      <c r="F215" s="60">
        <v>8.2</v>
      </c>
      <c r="G215" s="118" t="s">
        <v>428</v>
      </c>
      <c r="H215" s="116"/>
      <c r="I215" s="116"/>
    </row>
    <row r="216">
      <c r="A216" s="117">
        <v>46080.930692951384</v>
      </c>
      <c r="B216" s="60" t="s">
        <v>395</v>
      </c>
      <c r="C216" s="60" t="s">
        <v>313</v>
      </c>
      <c r="D216" s="60">
        <v>0.15</v>
      </c>
      <c r="E216" s="60">
        <v>0.0</v>
      </c>
      <c r="F216" s="60">
        <v>0.0</v>
      </c>
      <c r="G216" s="118" t="s">
        <v>428</v>
      </c>
      <c r="H216" s="116"/>
      <c r="I216" s="116"/>
    </row>
    <row r="217">
      <c r="A217" s="117">
        <v>46080.930692951384</v>
      </c>
      <c r="B217" s="60" t="s">
        <v>395</v>
      </c>
      <c r="C217" s="60" t="s">
        <v>429</v>
      </c>
      <c r="D217" s="60">
        <v>10.0</v>
      </c>
      <c r="E217" s="60">
        <v>1.0</v>
      </c>
      <c r="F217" s="60">
        <v>10.0</v>
      </c>
      <c r="G217" s="118" t="s">
        <v>428</v>
      </c>
      <c r="H217" s="116"/>
      <c r="I217" s="116"/>
    </row>
    <row r="218">
      <c r="A218" s="117">
        <v>46080.930692951384</v>
      </c>
      <c r="B218" s="60" t="s">
        <v>395</v>
      </c>
      <c r="C218" s="60" t="s">
        <v>426</v>
      </c>
      <c r="D218" s="60">
        <v>1.0</v>
      </c>
      <c r="E218" s="60">
        <v>1.0</v>
      </c>
      <c r="F218" s="60">
        <v>1.0</v>
      </c>
      <c r="G218" s="118" t="s">
        <v>428</v>
      </c>
      <c r="H218" s="116"/>
      <c r="I218" s="116"/>
    </row>
    <row r="219">
      <c r="A219" s="117">
        <v>46080.930692951384</v>
      </c>
      <c r="B219" s="60" t="s">
        <v>395</v>
      </c>
      <c r="C219" s="60" t="s">
        <v>430</v>
      </c>
      <c r="D219" s="60">
        <v>2.5</v>
      </c>
      <c r="E219" s="60">
        <v>0.5</v>
      </c>
      <c r="F219" s="60">
        <v>1.3</v>
      </c>
      <c r="G219" s="118" t="s">
        <v>428</v>
      </c>
      <c r="H219" s="116"/>
      <c r="I219" s="116"/>
    </row>
    <row r="220">
      <c r="A220" s="117">
        <v>46080.930692951384</v>
      </c>
      <c r="B220" s="60" t="s">
        <v>395</v>
      </c>
      <c r="C220" s="60" t="s">
        <v>202</v>
      </c>
      <c r="D220" s="60">
        <v>0.17</v>
      </c>
      <c r="E220" s="60">
        <v>29.0</v>
      </c>
      <c r="F220" s="60">
        <v>5.0</v>
      </c>
      <c r="G220" s="118" t="s">
        <v>428</v>
      </c>
      <c r="H220" s="116"/>
      <c r="I220" s="116"/>
    </row>
    <row r="221">
      <c r="A221" s="117">
        <v>46080.930692951384</v>
      </c>
      <c r="B221" s="60" t="s">
        <v>399</v>
      </c>
      <c r="C221" s="60" t="s">
        <v>313</v>
      </c>
      <c r="D221" s="60">
        <v>0.15</v>
      </c>
      <c r="E221" s="60">
        <v>27.0</v>
      </c>
      <c r="F221" s="60">
        <v>4.1</v>
      </c>
      <c r="G221" s="118" t="s">
        <v>428</v>
      </c>
      <c r="H221" s="116"/>
      <c r="I221" s="116"/>
    </row>
    <row r="222">
      <c r="A222" s="117">
        <v>46080.930692951384</v>
      </c>
      <c r="B222" s="60" t="s">
        <v>399</v>
      </c>
      <c r="C222" s="60" t="s">
        <v>431</v>
      </c>
      <c r="D222" s="60">
        <v>0.15</v>
      </c>
      <c r="E222" s="60">
        <v>28.0</v>
      </c>
      <c r="F222" s="60">
        <v>4.2</v>
      </c>
      <c r="G222" s="118" t="s">
        <v>428</v>
      </c>
      <c r="H222" s="116"/>
      <c r="I222" s="116"/>
    </row>
    <row r="223">
      <c r="A223" s="117">
        <v>46079.93073613426</v>
      </c>
      <c r="B223" s="60" t="s">
        <v>392</v>
      </c>
      <c r="C223" s="60" t="s">
        <v>170</v>
      </c>
      <c r="D223" s="60">
        <v>0.0</v>
      </c>
      <c r="E223" s="60">
        <v>2.0</v>
      </c>
      <c r="F223" s="60">
        <v>0.0</v>
      </c>
      <c r="G223" s="118" t="s">
        <v>432</v>
      </c>
      <c r="H223" s="116"/>
      <c r="I223" s="116"/>
    </row>
    <row r="224">
      <c r="A224" s="117">
        <v>46079.93073613426</v>
      </c>
      <c r="B224" s="60" t="s">
        <v>392</v>
      </c>
      <c r="C224" s="60" t="s">
        <v>212</v>
      </c>
      <c r="D224" s="60">
        <v>0.33</v>
      </c>
      <c r="E224" s="60">
        <v>13.0</v>
      </c>
      <c r="F224" s="60">
        <v>4.3</v>
      </c>
      <c r="G224" s="118" t="s">
        <v>432</v>
      </c>
      <c r="H224" s="116"/>
      <c r="I224" s="116"/>
    </row>
    <row r="225">
      <c r="A225" s="117">
        <v>46079.93073613426</v>
      </c>
      <c r="B225" s="60" t="s">
        <v>392</v>
      </c>
      <c r="C225" s="60" t="s">
        <v>429</v>
      </c>
      <c r="D225" s="60">
        <v>10.0</v>
      </c>
      <c r="E225" s="60">
        <v>1.0</v>
      </c>
      <c r="F225" s="60">
        <v>10.0</v>
      </c>
      <c r="G225" s="118" t="s">
        <v>432</v>
      </c>
      <c r="H225" s="116"/>
      <c r="I225" s="116"/>
    </row>
    <row r="226">
      <c r="A226" s="117">
        <v>46079.93073613426</v>
      </c>
      <c r="B226" s="60" t="s">
        <v>392</v>
      </c>
      <c r="C226" s="60" t="s">
        <v>125</v>
      </c>
      <c r="D226" s="60">
        <v>0.08</v>
      </c>
      <c r="E226" s="60">
        <v>65.0</v>
      </c>
      <c r="F226" s="60">
        <v>5.2</v>
      </c>
      <c r="G226" s="118" t="s">
        <v>432</v>
      </c>
      <c r="H226" s="116"/>
      <c r="I226" s="116"/>
    </row>
    <row r="227">
      <c r="A227" s="117">
        <v>46079.93073613426</v>
      </c>
      <c r="B227" s="60" t="s">
        <v>392</v>
      </c>
      <c r="C227" s="60" t="s">
        <v>111</v>
      </c>
      <c r="D227" s="60">
        <v>0.12</v>
      </c>
      <c r="E227" s="60">
        <v>20.0</v>
      </c>
      <c r="F227" s="60">
        <v>2.4</v>
      </c>
      <c r="G227" s="118" t="s">
        <v>432</v>
      </c>
      <c r="H227" s="116"/>
      <c r="I227" s="116"/>
    </row>
    <row r="228">
      <c r="A228" s="117">
        <v>46079.93073613426</v>
      </c>
      <c r="B228" s="60" t="s">
        <v>397</v>
      </c>
      <c r="C228" s="60" t="s">
        <v>294</v>
      </c>
      <c r="D228" s="60">
        <v>0.05</v>
      </c>
      <c r="E228" s="60">
        <v>40.0</v>
      </c>
      <c r="F228" s="60">
        <v>2.0</v>
      </c>
      <c r="G228" s="118" t="s">
        <v>432</v>
      </c>
      <c r="H228" s="116"/>
      <c r="I228" s="116"/>
    </row>
    <row r="229">
      <c r="A229" s="117">
        <v>46079.93073613426</v>
      </c>
      <c r="B229" s="60" t="s">
        <v>397</v>
      </c>
      <c r="C229" s="60" t="s">
        <v>325</v>
      </c>
      <c r="D229" s="60">
        <v>0.05</v>
      </c>
      <c r="E229" s="60">
        <v>80.0</v>
      </c>
      <c r="F229" s="60">
        <v>4.0</v>
      </c>
      <c r="G229" s="118" t="s">
        <v>432</v>
      </c>
      <c r="H229" s="116"/>
      <c r="I229" s="116"/>
    </row>
    <row r="230">
      <c r="A230" s="117">
        <v>46079.93073613426</v>
      </c>
      <c r="B230" s="60" t="s">
        <v>397</v>
      </c>
      <c r="C230" s="60" t="s">
        <v>202</v>
      </c>
      <c r="D230" s="60">
        <v>0.17</v>
      </c>
      <c r="E230" s="60">
        <v>24.0</v>
      </c>
      <c r="F230" s="60">
        <v>4.0</v>
      </c>
      <c r="G230" s="118" t="s">
        <v>432</v>
      </c>
      <c r="H230" s="116"/>
      <c r="I230" s="116"/>
    </row>
    <row r="231">
      <c r="A231" s="117">
        <v>46079.93073613426</v>
      </c>
      <c r="B231" s="60" t="s">
        <v>398</v>
      </c>
      <c r="C231" s="60" t="s">
        <v>433</v>
      </c>
      <c r="D231" s="60">
        <v>0.14</v>
      </c>
      <c r="E231" s="60">
        <v>36.0</v>
      </c>
      <c r="F231" s="60">
        <v>5.0</v>
      </c>
      <c r="G231" s="118" t="s">
        <v>432</v>
      </c>
      <c r="H231" s="116"/>
      <c r="I231" s="116"/>
    </row>
    <row r="232">
      <c r="A232" s="117">
        <v>46079.93073613426</v>
      </c>
      <c r="B232" s="60" t="s">
        <v>395</v>
      </c>
      <c r="C232" s="60" t="s">
        <v>417</v>
      </c>
      <c r="D232" s="60">
        <v>0.07</v>
      </c>
      <c r="E232" s="60">
        <v>145.0</v>
      </c>
      <c r="F232" s="60">
        <v>10.75</v>
      </c>
      <c r="G232" s="118" t="s">
        <v>432</v>
      </c>
      <c r="H232" s="116"/>
      <c r="I232" s="116"/>
    </row>
    <row r="233">
      <c r="A233" s="117">
        <v>46079.93073613426</v>
      </c>
      <c r="B233" s="60" t="s">
        <v>395</v>
      </c>
      <c r="C233" s="60" t="s">
        <v>434</v>
      </c>
      <c r="D233" s="60">
        <v>5.5</v>
      </c>
      <c r="E233" s="60">
        <v>1.0</v>
      </c>
      <c r="F233" s="60">
        <v>5.5</v>
      </c>
      <c r="G233" s="118" t="s">
        <v>432</v>
      </c>
      <c r="H233" s="116"/>
      <c r="I233" s="116"/>
    </row>
    <row r="234">
      <c r="A234" s="117">
        <v>46078.93067806713</v>
      </c>
      <c r="B234" s="60" t="s">
        <v>392</v>
      </c>
      <c r="C234" s="60" t="s">
        <v>429</v>
      </c>
      <c r="D234" s="60">
        <v>10.0</v>
      </c>
      <c r="E234" s="60">
        <v>1.5</v>
      </c>
      <c r="F234" s="60">
        <v>15.0</v>
      </c>
      <c r="G234" s="118" t="s">
        <v>435</v>
      </c>
      <c r="H234" s="116"/>
      <c r="I234" s="116"/>
    </row>
    <row r="235">
      <c r="A235" s="117">
        <v>46078.93067806713</v>
      </c>
      <c r="B235" s="60" t="s">
        <v>392</v>
      </c>
      <c r="C235" s="60" t="s">
        <v>233</v>
      </c>
      <c r="D235" s="60">
        <v>0.13</v>
      </c>
      <c r="E235" s="60">
        <v>18.0</v>
      </c>
      <c r="F235" s="60">
        <v>2.3</v>
      </c>
      <c r="G235" s="118" t="s">
        <v>435</v>
      </c>
      <c r="H235" s="116"/>
      <c r="I235" s="116"/>
    </row>
    <row r="236">
      <c r="A236" s="117">
        <v>46078.93067806713</v>
      </c>
      <c r="B236" s="60" t="s">
        <v>392</v>
      </c>
      <c r="C236" s="60" t="s">
        <v>89</v>
      </c>
      <c r="D236" s="60">
        <v>0.13</v>
      </c>
      <c r="E236" s="60">
        <v>50.0</v>
      </c>
      <c r="F236" s="60">
        <v>6.5</v>
      </c>
      <c r="G236" s="118" t="s">
        <v>435</v>
      </c>
      <c r="H236" s="116"/>
      <c r="I236" s="116"/>
    </row>
    <row r="237">
      <c r="A237" s="117">
        <v>46078.93067806713</v>
      </c>
      <c r="B237" s="60" t="s">
        <v>392</v>
      </c>
      <c r="C237" s="60" t="s">
        <v>436</v>
      </c>
      <c r="D237" s="60">
        <v>4.0</v>
      </c>
      <c r="E237" s="60">
        <v>1.0</v>
      </c>
      <c r="F237" s="60">
        <v>4.0</v>
      </c>
      <c r="G237" s="118" t="s">
        <v>435</v>
      </c>
      <c r="H237" s="116"/>
      <c r="I237" s="116"/>
    </row>
    <row r="238">
      <c r="A238" s="117">
        <v>46078.93067806713</v>
      </c>
      <c r="B238" s="60" t="s">
        <v>395</v>
      </c>
      <c r="C238" s="60" t="s">
        <v>132</v>
      </c>
      <c r="D238" s="60">
        <v>0.02</v>
      </c>
      <c r="E238" s="60">
        <v>50.0</v>
      </c>
      <c r="F238" s="60">
        <v>1.0</v>
      </c>
      <c r="G238" s="118" t="s">
        <v>435</v>
      </c>
      <c r="H238" s="116"/>
      <c r="I238" s="116"/>
    </row>
    <row r="239">
      <c r="A239" s="117">
        <v>46078.93067806713</v>
      </c>
      <c r="B239" s="60" t="s">
        <v>395</v>
      </c>
      <c r="C239" s="60" t="s">
        <v>437</v>
      </c>
      <c r="D239" s="60">
        <v>0.03</v>
      </c>
      <c r="E239" s="60">
        <v>30.0</v>
      </c>
      <c r="F239" s="60">
        <v>0.9</v>
      </c>
      <c r="G239" s="118" t="s">
        <v>435</v>
      </c>
      <c r="H239" s="116"/>
      <c r="I239" s="116"/>
    </row>
    <row r="240">
      <c r="A240" s="117">
        <v>46078.93067806713</v>
      </c>
      <c r="B240" s="60" t="s">
        <v>395</v>
      </c>
      <c r="C240" s="60" t="s">
        <v>438</v>
      </c>
      <c r="D240" s="60">
        <v>0.0</v>
      </c>
      <c r="E240" s="60">
        <v>50.0</v>
      </c>
      <c r="F240" s="60">
        <v>0.0</v>
      </c>
      <c r="G240" s="118" t="s">
        <v>435</v>
      </c>
      <c r="H240" s="116"/>
      <c r="I240" s="116"/>
    </row>
    <row r="241">
      <c r="A241" s="117">
        <v>46078.93067806713</v>
      </c>
      <c r="B241" s="60" t="s">
        <v>395</v>
      </c>
      <c r="C241" s="60" t="s">
        <v>439</v>
      </c>
      <c r="D241" s="60">
        <v>0.31</v>
      </c>
      <c r="E241" s="60">
        <v>60.0</v>
      </c>
      <c r="F241" s="60">
        <v>18.6</v>
      </c>
      <c r="G241" s="118" t="s">
        <v>435</v>
      </c>
      <c r="H241" s="116"/>
      <c r="I241" s="116"/>
    </row>
    <row r="242">
      <c r="A242" s="117">
        <v>46078.93067806713</v>
      </c>
      <c r="B242" s="60" t="s">
        <v>395</v>
      </c>
      <c r="C242" s="60" t="s">
        <v>202</v>
      </c>
      <c r="D242" s="60">
        <v>0.17</v>
      </c>
      <c r="E242" s="60">
        <v>26.0</v>
      </c>
      <c r="F242" s="60">
        <v>4.4</v>
      </c>
      <c r="G242" s="118" t="s">
        <v>435</v>
      </c>
      <c r="H242" s="116"/>
      <c r="I242" s="116"/>
    </row>
    <row r="243">
      <c r="A243" s="117">
        <v>46078.93067806713</v>
      </c>
      <c r="B243" s="60" t="s">
        <v>399</v>
      </c>
      <c r="C243" s="60" t="s">
        <v>205</v>
      </c>
      <c r="D243" s="60">
        <v>0.08</v>
      </c>
      <c r="E243" s="60">
        <v>25.0</v>
      </c>
      <c r="F243" s="60">
        <v>2.0</v>
      </c>
      <c r="G243" s="118" t="s">
        <v>435</v>
      </c>
      <c r="H243" s="116"/>
      <c r="I243" s="116"/>
    </row>
    <row r="244">
      <c r="A244" s="117">
        <v>46078.93067806713</v>
      </c>
      <c r="B244" s="60" t="s">
        <v>399</v>
      </c>
      <c r="C244" s="60" t="s">
        <v>202</v>
      </c>
      <c r="D244" s="60">
        <v>0.17</v>
      </c>
      <c r="E244" s="60">
        <v>29.0</v>
      </c>
      <c r="F244" s="60">
        <v>5.0</v>
      </c>
      <c r="G244" s="118" t="s">
        <v>435</v>
      </c>
      <c r="H244" s="116"/>
      <c r="I244" s="116"/>
    </row>
    <row r="245">
      <c r="A245" s="117">
        <v>46078.93067806713</v>
      </c>
      <c r="B245" s="60" t="s">
        <v>399</v>
      </c>
      <c r="C245" s="60" t="s">
        <v>325</v>
      </c>
      <c r="D245" s="60">
        <v>0.05</v>
      </c>
      <c r="E245" s="60">
        <v>60.0</v>
      </c>
      <c r="F245" s="60">
        <v>3.0</v>
      </c>
      <c r="G245" s="118" t="s">
        <v>435</v>
      </c>
      <c r="H245" s="116"/>
      <c r="I245" s="116"/>
    </row>
    <row r="246">
      <c r="A246" s="117">
        <v>46077.9307819213</v>
      </c>
      <c r="B246" s="60" t="s">
        <v>392</v>
      </c>
      <c r="C246" s="60" t="s">
        <v>440</v>
      </c>
      <c r="D246" s="60">
        <v>0.0</v>
      </c>
      <c r="E246" s="60">
        <v>2.0</v>
      </c>
      <c r="F246" s="60">
        <v>0.0</v>
      </c>
      <c r="G246" s="118" t="s">
        <v>441</v>
      </c>
      <c r="H246" s="116"/>
      <c r="I246" s="116"/>
    </row>
    <row r="247">
      <c r="A247" s="117">
        <v>46077.9307819213</v>
      </c>
      <c r="B247" s="60" t="s">
        <v>392</v>
      </c>
      <c r="C247" s="60" t="s">
        <v>429</v>
      </c>
      <c r="D247" s="60">
        <v>10.0</v>
      </c>
      <c r="E247" s="60">
        <v>1.0</v>
      </c>
      <c r="F247" s="60">
        <v>10.0</v>
      </c>
      <c r="G247" s="118" t="s">
        <v>441</v>
      </c>
      <c r="H247" s="116"/>
      <c r="I247" s="116"/>
    </row>
    <row r="248">
      <c r="A248" s="117">
        <v>46077.9307819213</v>
      </c>
      <c r="B248" s="60" t="s">
        <v>392</v>
      </c>
      <c r="C248" s="60" t="s">
        <v>424</v>
      </c>
      <c r="D248" s="60">
        <v>0.27</v>
      </c>
      <c r="E248" s="60">
        <v>12.0</v>
      </c>
      <c r="F248" s="60">
        <v>3.2</v>
      </c>
      <c r="G248" s="118" t="s">
        <v>441</v>
      </c>
      <c r="H248" s="116"/>
      <c r="I248" s="116"/>
    </row>
    <row r="249">
      <c r="A249" s="117">
        <v>46077.9307819213</v>
      </c>
      <c r="B249" s="60" t="s">
        <v>392</v>
      </c>
      <c r="C249" s="60" t="s">
        <v>89</v>
      </c>
      <c r="D249" s="60">
        <v>0.13</v>
      </c>
      <c r="E249" s="60">
        <v>45.0</v>
      </c>
      <c r="F249" s="60">
        <v>5.9</v>
      </c>
      <c r="G249" s="118" t="s">
        <v>441</v>
      </c>
      <c r="H249" s="116"/>
      <c r="I249" s="116"/>
    </row>
    <row r="250">
      <c r="A250" s="117">
        <v>46077.9307819213</v>
      </c>
      <c r="B250" s="60" t="s">
        <v>392</v>
      </c>
      <c r="C250" s="60" t="s">
        <v>212</v>
      </c>
      <c r="D250" s="60">
        <v>0.33</v>
      </c>
      <c r="E250" s="60">
        <v>13.0</v>
      </c>
      <c r="F250" s="60">
        <v>4.3</v>
      </c>
      <c r="G250" s="118" t="s">
        <v>441</v>
      </c>
      <c r="H250" s="116"/>
      <c r="I250" s="116"/>
    </row>
    <row r="251">
      <c r="A251" s="117">
        <v>46077.9307819213</v>
      </c>
      <c r="B251" s="60" t="s">
        <v>394</v>
      </c>
      <c r="C251" s="60" t="s">
        <v>125</v>
      </c>
      <c r="D251" s="60">
        <v>0.08</v>
      </c>
      <c r="E251" s="60">
        <v>63.0</v>
      </c>
      <c r="F251" s="60">
        <v>5.0</v>
      </c>
      <c r="G251" s="118" t="s">
        <v>441</v>
      </c>
      <c r="H251" s="116"/>
      <c r="I251" s="116"/>
    </row>
    <row r="252">
      <c r="A252" s="117">
        <v>46077.9307819213</v>
      </c>
      <c r="B252" s="60" t="s">
        <v>395</v>
      </c>
      <c r="C252" s="60" t="s">
        <v>442</v>
      </c>
      <c r="D252" s="60">
        <v>8.0</v>
      </c>
      <c r="E252" s="60">
        <v>1.5</v>
      </c>
      <c r="F252" s="60">
        <v>12.0</v>
      </c>
      <c r="G252" s="118" t="s">
        <v>441</v>
      </c>
      <c r="H252" s="116"/>
      <c r="I252" s="116"/>
    </row>
    <row r="253">
      <c r="A253" s="117">
        <v>46077.9307819213</v>
      </c>
      <c r="B253" s="60" t="s">
        <v>395</v>
      </c>
      <c r="C253" s="60" t="s">
        <v>437</v>
      </c>
      <c r="D253" s="60">
        <v>0.03</v>
      </c>
      <c r="E253" s="60">
        <v>36.0</v>
      </c>
      <c r="F253" s="60">
        <v>1.1</v>
      </c>
      <c r="G253" s="118" t="s">
        <v>441</v>
      </c>
      <c r="H253" s="116"/>
      <c r="I253" s="116"/>
    </row>
    <row r="254">
      <c r="A254" s="117">
        <v>46077.9307819213</v>
      </c>
      <c r="B254" s="60" t="s">
        <v>395</v>
      </c>
      <c r="C254" s="60" t="s">
        <v>443</v>
      </c>
      <c r="D254" s="60">
        <v>0.15</v>
      </c>
      <c r="E254" s="60">
        <v>5.0</v>
      </c>
      <c r="F254" s="60">
        <v>0.8</v>
      </c>
      <c r="G254" s="118" t="s">
        <v>441</v>
      </c>
      <c r="H254" s="116"/>
      <c r="I254" s="116"/>
    </row>
    <row r="255">
      <c r="A255" s="117">
        <v>46077.9307819213</v>
      </c>
      <c r="B255" s="60" t="s">
        <v>395</v>
      </c>
      <c r="C255" s="60" t="s">
        <v>429</v>
      </c>
      <c r="D255" s="60">
        <v>10.0</v>
      </c>
      <c r="E255" s="60">
        <v>1.0</v>
      </c>
      <c r="F255" s="60">
        <v>10.0</v>
      </c>
      <c r="G255" s="118" t="s">
        <v>441</v>
      </c>
      <c r="H255" s="116"/>
      <c r="I255" s="116"/>
    </row>
    <row r="256">
      <c r="A256" s="117">
        <v>46077.9307819213</v>
      </c>
      <c r="B256" s="60" t="s">
        <v>395</v>
      </c>
      <c r="C256" s="60" t="s">
        <v>163</v>
      </c>
      <c r="D256" s="60">
        <v>0.03</v>
      </c>
      <c r="E256" s="60">
        <v>33.0</v>
      </c>
      <c r="F256" s="60">
        <v>1.0</v>
      </c>
      <c r="G256" s="118" t="s">
        <v>441</v>
      </c>
      <c r="H256" s="116"/>
      <c r="I256" s="116"/>
    </row>
    <row r="257">
      <c r="A257" s="117">
        <v>46077.9307819213</v>
      </c>
      <c r="B257" s="60" t="s">
        <v>395</v>
      </c>
      <c r="C257" s="60" t="s">
        <v>351</v>
      </c>
      <c r="D257" s="60">
        <v>0.37</v>
      </c>
      <c r="E257" s="60">
        <v>15.0</v>
      </c>
      <c r="F257" s="60">
        <v>5.6</v>
      </c>
      <c r="G257" s="118" t="s">
        <v>441</v>
      </c>
      <c r="H257" s="116"/>
      <c r="I257" s="116"/>
    </row>
    <row r="258">
      <c r="A258" s="117">
        <v>46077.9307819213</v>
      </c>
      <c r="B258" s="60" t="s">
        <v>399</v>
      </c>
      <c r="C258" s="60" t="s">
        <v>444</v>
      </c>
      <c r="D258" s="60">
        <v>0.07</v>
      </c>
      <c r="E258" s="60">
        <v>40.0</v>
      </c>
      <c r="F258" s="60">
        <v>2.8</v>
      </c>
      <c r="G258" s="118" t="s">
        <v>441</v>
      </c>
      <c r="H258" s="116"/>
      <c r="I258" s="116"/>
    </row>
    <row r="259">
      <c r="A259" s="117">
        <v>46077.9307819213</v>
      </c>
      <c r="B259" s="60" t="s">
        <v>399</v>
      </c>
      <c r="C259" s="60" t="s">
        <v>104</v>
      </c>
      <c r="D259" s="60">
        <v>0.05</v>
      </c>
      <c r="E259" s="60">
        <v>27.0</v>
      </c>
      <c r="F259" s="60">
        <v>1.4</v>
      </c>
      <c r="G259" s="118" t="s">
        <v>441</v>
      </c>
      <c r="H259" s="116"/>
      <c r="I259" s="116"/>
    </row>
    <row r="260">
      <c r="A260" s="117">
        <v>46077.9307819213</v>
      </c>
      <c r="B260" s="60" t="s">
        <v>399</v>
      </c>
      <c r="C260" s="60" t="s">
        <v>125</v>
      </c>
      <c r="D260" s="60">
        <v>0.08</v>
      </c>
      <c r="E260" s="60">
        <v>63.0</v>
      </c>
      <c r="F260" s="60">
        <v>5.0</v>
      </c>
      <c r="G260" s="118" t="s">
        <v>441</v>
      </c>
      <c r="H260" s="116"/>
      <c r="I260" s="116"/>
    </row>
    <row r="261">
      <c r="A261" s="117">
        <v>46076.93078978009</v>
      </c>
      <c r="B261" s="60" t="s">
        <v>392</v>
      </c>
      <c r="C261" s="60" t="s">
        <v>429</v>
      </c>
      <c r="D261" s="60">
        <v>10.0</v>
      </c>
      <c r="E261" s="60">
        <v>1.5</v>
      </c>
      <c r="F261" s="60">
        <v>15.0</v>
      </c>
      <c r="G261" s="118" t="s">
        <v>445</v>
      </c>
      <c r="H261" s="116"/>
      <c r="I261" s="116"/>
    </row>
    <row r="262">
      <c r="A262" s="117">
        <v>46076.93078978009</v>
      </c>
      <c r="B262" s="60" t="s">
        <v>392</v>
      </c>
      <c r="C262" s="60" t="s">
        <v>233</v>
      </c>
      <c r="D262" s="60">
        <v>0.13</v>
      </c>
      <c r="E262" s="60">
        <v>18.0</v>
      </c>
      <c r="F262" s="60">
        <v>2.3</v>
      </c>
      <c r="G262" s="118" t="s">
        <v>445</v>
      </c>
      <c r="H262" s="116"/>
      <c r="I262" s="116"/>
    </row>
    <row r="263">
      <c r="A263" s="117">
        <v>46076.93078978009</v>
      </c>
      <c r="B263" s="60" t="s">
        <v>392</v>
      </c>
      <c r="C263" s="60" t="s">
        <v>89</v>
      </c>
      <c r="D263" s="60">
        <v>0.13</v>
      </c>
      <c r="E263" s="60">
        <v>50.0</v>
      </c>
      <c r="F263" s="60">
        <v>6.5</v>
      </c>
      <c r="G263" s="118" t="s">
        <v>445</v>
      </c>
      <c r="H263" s="116"/>
      <c r="I263" s="116"/>
    </row>
    <row r="264">
      <c r="A264" s="117">
        <v>46076.93078978009</v>
      </c>
      <c r="B264" s="60" t="s">
        <v>394</v>
      </c>
      <c r="C264" s="60" t="s">
        <v>325</v>
      </c>
      <c r="D264" s="60">
        <v>0.05</v>
      </c>
      <c r="E264" s="60">
        <v>65.0</v>
      </c>
      <c r="F264" s="60">
        <v>3.3</v>
      </c>
      <c r="G264" s="118" t="s">
        <v>445</v>
      </c>
      <c r="H264" s="116"/>
      <c r="I264" s="116"/>
    </row>
    <row r="265">
      <c r="A265" s="117">
        <v>46076.93078978009</v>
      </c>
      <c r="B265" s="60" t="s">
        <v>397</v>
      </c>
      <c r="C265" s="60" t="s">
        <v>444</v>
      </c>
      <c r="D265" s="60">
        <v>0.07</v>
      </c>
      <c r="E265" s="60">
        <v>22.0</v>
      </c>
      <c r="F265" s="60">
        <v>1.5</v>
      </c>
      <c r="G265" s="118" t="s">
        <v>445</v>
      </c>
      <c r="H265" s="116"/>
      <c r="I265" s="116"/>
    </row>
    <row r="266">
      <c r="A266" s="117">
        <v>46076.93078978009</v>
      </c>
      <c r="B266" s="60" t="s">
        <v>397</v>
      </c>
      <c r="C266" s="60" t="s">
        <v>446</v>
      </c>
      <c r="D266" s="60">
        <v>0.13</v>
      </c>
      <c r="E266" s="60">
        <v>54.0</v>
      </c>
      <c r="F266" s="60">
        <v>7.0</v>
      </c>
      <c r="G266" s="118" t="s">
        <v>445</v>
      </c>
      <c r="H266" s="116"/>
      <c r="I266" s="116"/>
    </row>
    <row r="267">
      <c r="A267" s="117">
        <v>46076.93078978009</v>
      </c>
      <c r="B267" s="60" t="s">
        <v>395</v>
      </c>
      <c r="C267" s="60" t="s">
        <v>316</v>
      </c>
      <c r="D267" s="60">
        <v>0.03</v>
      </c>
      <c r="E267" s="60">
        <v>79.0</v>
      </c>
      <c r="F267" s="60">
        <v>2.38</v>
      </c>
      <c r="G267" s="118" t="s">
        <v>445</v>
      </c>
      <c r="H267" s="116"/>
      <c r="I267" s="116"/>
    </row>
    <row r="268">
      <c r="A268" s="117">
        <v>46076.93078978009</v>
      </c>
      <c r="B268" s="60" t="s">
        <v>395</v>
      </c>
      <c r="C268" s="60" t="s">
        <v>447</v>
      </c>
      <c r="D268" s="60">
        <v>0.3</v>
      </c>
      <c r="E268" s="60">
        <v>110.0</v>
      </c>
      <c r="F268" s="60">
        <v>33.0</v>
      </c>
      <c r="G268" s="118" t="s">
        <v>445</v>
      </c>
      <c r="H268" s="116"/>
      <c r="I268" s="116"/>
    </row>
    <row r="269">
      <c r="A269" s="117">
        <v>46076.93078978009</v>
      </c>
      <c r="B269" s="60" t="s">
        <v>395</v>
      </c>
      <c r="C269" s="60" t="s">
        <v>205</v>
      </c>
      <c r="D269" s="60">
        <v>0.08</v>
      </c>
      <c r="E269" s="60">
        <v>40.0</v>
      </c>
      <c r="F269" s="60">
        <v>3.2</v>
      </c>
      <c r="G269" s="118" t="s">
        <v>445</v>
      </c>
      <c r="H269" s="116"/>
      <c r="I269" s="116"/>
    </row>
    <row r="270">
      <c r="A270" s="117">
        <v>46075.93073233796</v>
      </c>
      <c r="B270" s="60" t="s">
        <v>392</v>
      </c>
      <c r="C270" s="60" t="s">
        <v>429</v>
      </c>
      <c r="D270" s="60">
        <v>10.0</v>
      </c>
      <c r="E270" s="60">
        <v>2.0</v>
      </c>
      <c r="F270" s="60">
        <v>20.0</v>
      </c>
      <c r="G270" s="118" t="s">
        <v>448</v>
      </c>
      <c r="H270" s="116"/>
      <c r="I270" s="116"/>
    </row>
    <row r="271">
      <c r="A271" s="117">
        <v>46075.93073233796</v>
      </c>
      <c r="B271" s="60" t="s">
        <v>392</v>
      </c>
      <c r="C271" s="60" t="s">
        <v>328</v>
      </c>
      <c r="D271" s="60">
        <v>0.07</v>
      </c>
      <c r="E271" s="60">
        <v>17.0</v>
      </c>
      <c r="F271" s="60">
        <v>1.2</v>
      </c>
      <c r="G271" s="118" t="s">
        <v>448</v>
      </c>
      <c r="H271" s="116"/>
      <c r="I271" s="116"/>
    </row>
    <row r="272">
      <c r="A272" s="117">
        <v>46075.93073233796</v>
      </c>
      <c r="B272" s="60" t="s">
        <v>392</v>
      </c>
      <c r="C272" s="60" t="s">
        <v>232</v>
      </c>
      <c r="D272" s="60">
        <v>0.14</v>
      </c>
      <c r="E272" s="60">
        <v>42.0</v>
      </c>
      <c r="F272" s="60">
        <v>5.9</v>
      </c>
      <c r="G272" s="118" t="s">
        <v>448</v>
      </c>
      <c r="H272" s="116"/>
      <c r="I272" s="116"/>
    </row>
    <row r="273">
      <c r="A273" s="117">
        <v>46075.93073233796</v>
      </c>
      <c r="B273" s="60" t="s">
        <v>395</v>
      </c>
      <c r="C273" s="60" t="s">
        <v>449</v>
      </c>
      <c r="D273" s="60">
        <v>0.09</v>
      </c>
      <c r="E273" s="60">
        <v>30.0</v>
      </c>
      <c r="F273" s="60">
        <v>2.71</v>
      </c>
      <c r="G273" s="118" t="s">
        <v>448</v>
      </c>
      <c r="H273" s="116"/>
      <c r="I273" s="116"/>
    </row>
    <row r="274">
      <c r="A274" s="117">
        <v>46075.93073233796</v>
      </c>
      <c r="B274" s="60" t="s">
        <v>395</v>
      </c>
      <c r="C274" s="60" t="s">
        <v>450</v>
      </c>
      <c r="D274" s="60">
        <v>0.19</v>
      </c>
      <c r="E274" s="60">
        <v>45.0</v>
      </c>
      <c r="F274" s="60">
        <v>8.6</v>
      </c>
      <c r="G274" s="118" t="s">
        <v>448</v>
      </c>
      <c r="H274" s="116"/>
      <c r="I274" s="116"/>
    </row>
    <row r="275">
      <c r="A275" s="117">
        <v>46075.93073233796</v>
      </c>
      <c r="B275" s="60" t="s">
        <v>395</v>
      </c>
      <c r="C275" s="60" t="s">
        <v>323</v>
      </c>
      <c r="D275" s="60">
        <v>0.02</v>
      </c>
      <c r="E275" s="60">
        <v>25.0</v>
      </c>
      <c r="F275" s="60">
        <v>0.5</v>
      </c>
      <c r="G275" s="118" t="s">
        <v>448</v>
      </c>
      <c r="H275" s="116"/>
      <c r="I275" s="116"/>
    </row>
    <row r="276">
      <c r="A276" s="117">
        <v>46075.93073233796</v>
      </c>
      <c r="B276" s="60" t="s">
        <v>395</v>
      </c>
      <c r="C276" s="60" t="s">
        <v>451</v>
      </c>
      <c r="D276" s="60">
        <v>0.03</v>
      </c>
      <c r="E276" s="60">
        <v>40.0</v>
      </c>
      <c r="F276" s="60">
        <v>1.2</v>
      </c>
      <c r="G276" s="118" t="s">
        <v>448</v>
      </c>
      <c r="H276" s="116"/>
      <c r="I276" s="116"/>
    </row>
    <row r="277">
      <c r="A277" s="117">
        <v>46074.93067291667</v>
      </c>
      <c r="B277" s="60" t="s">
        <v>392</v>
      </c>
      <c r="C277" s="60" t="s">
        <v>170</v>
      </c>
      <c r="D277" s="60">
        <v>0.0</v>
      </c>
      <c r="E277" s="60">
        <v>13.0</v>
      </c>
      <c r="F277" s="60">
        <v>4.3</v>
      </c>
      <c r="G277" s="118" t="s">
        <v>452</v>
      </c>
      <c r="H277" s="116"/>
      <c r="I277" s="116"/>
    </row>
    <row r="278">
      <c r="A278" s="117">
        <v>46074.93067291667</v>
      </c>
      <c r="B278" s="60" t="s">
        <v>392</v>
      </c>
      <c r="C278" s="60" t="s">
        <v>453</v>
      </c>
      <c r="D278" s="60">
        <v>0.42</v>
      </c>
      <c r="E278" s="60">
        <v>57.0</v>
      </c>
      <c r="F278" s="60">
        <v>23.9</v>
      </c>
      <c r="G278" s="118" t="s">
        <v>452</v>
      </c>
      <c r="H278" s="116"/>
      <c r="I278" s="116"/>
    </row>
    <row r="279">
      <c r="A279" s="117">
        <v>46074.93067291667</v>
      </c>
      <c r="B279" s="60" t="s">
        <v>392</v>
      </c>
      <c r="C279" s="60" t="s">
        <v>454</v>
      </c>
      <c r="D279" s="60">
        <v>0.3</v>
      </c>
      <c r="E279" s="60">
        <v>10.0</v>
      </c>
      <c r="F279" s="60">
        <v>3.0</v>
      </c>
      <c r="G279" s="118" t="s">
        <v>452</v>
      </c>
      <c r="H279" s="116"/>
      <c r="I279" s="116"/>
    </row>
    <row r="280">
      <c r="A280" s="117">
        <v>46074.93067291667</v>
      </c>
      <c r="B280" s="60" t="s">
        <v>392</v>
      </c>
      <c r="C280" s="60" t="s">
        <v>323</v>
      </c>
      <c r="D280" s="60">
        <v>0.02</v>
      </c>
      <c r="E280" s="60">
        <v>20.0</v>
      </c>
      <c r="F280" s="60">
        <v>0.4</v>
      </c>
      <c r="G280" s="118" t="s">
        <v>452</v>
      </c>
      <c r="H280" s="116"/>
      <c r="I280" s="116"/>
    </row>
    <row r="281">
      <c r="A281" s="117">
        <v>46074.93067291667</v>
      </c>
      <c r="B281" s="60" t="s">
        <v>397</v>
      </c>
      <c r="C281" s="60" t="s">
        <v>455</v>
      </c>
      <c r="D281" s="60">
        <v>0.56</v>
      </c>
      <c r="E281" s="60">
        <v>30.0</v>
      </c>
      <c r="F281" s="60">
        <v>16.7</v>
      </c>
      <c r="G281" s="118" t="s">
        <v>452</v>
      </c>
      <c r="H281" s="116"/>
      <c r="I281" s="116"/>
    </row>
    <row r="282">
      <c r="A282" s="117">
        <v>46074.93067291667</v>
      </c>
      <c r="B282" s="60" t="s">
        <v>397</v>
      </c>
      <c r="C282" s="60" t="s">
        <v>233</v>
      </c>
      <c r="D282" s="60">
        <v>2.34</v>
      </c>
      <c r="E282" s="60">
        <v>1.0</v>
      </c>
      <c r="F282" s="60">
        <v>2.3</v>
      </c>
      <c r="G282" s="118" t="s">
        <v>452</v>
      </c>
      <c r="H282" s="116"/>
      <c r="I282" s="116"/>
    </row>
    <row r="283">
      <c r="A283" s="117">
        <v>46074.93067291667</v>
      </c>
      <c r="B283" s="60" t="s">
        <v>397</v>
      </c>
      <c r="C283" s="60" t="s">
        <v>111</v>
      </c>
      <c r="D283" s="60">
        <v>0.12</v>
      </c>
      <c r="E283" s="60">
        <v>25.0</v>
      </c>
      <c r="F283" s="60">
        <v>3.0</v>
      </c>
      <c r="G283" s="118" t="s">
        <v>452</v>
      </c>
      <c r="H283" s="116"/>
      <c r="I283" s="116"/>
    </row>
    <row r="284">
      <c r="A284" s="117">
        <v>46074.93067291667</v>
      </c>
      <c r="B284" s="60" t="s">
        <v>397</v>
      </c>
      <c r="C284" s="60" t="s">
        <v>152</v>
      </c>
      <c r="D284" s="60">
        <v>0.0</v>
      </c>
      <c r="E284" s="60">
        <v>78.0</v>
      </c>
      <c r="F284" s="60">
        <v>10.1</v>
      </c>
      <c r="G284" s="118" t="s">
        <v>452</v>
      </c>
      <c r="H284" s="116"/>
      <c r="I284" s="116"/>
    </row>
    <row r="285">
      <c r="A285" s="117">
        <v>46074.93067291667</v>
      </c>
      <c r="B285" s="60" t="s">
        <v>398</v>
      </c>
      <c r="C285" s="60" t="s">
        <v>125</v>
      </c>
      <c r="D285" s="60">
        <v>0.08</v>
      </c>
      <c r="E285" s="60">
        <v>22.0</v>
      </c>
      <c r="F285" s="60">
        <v>1.8</v>
      </c>
      <c r="G285" s="118" t="s">
        <v>452</v>
      </c>
      <c r="H285" s="116"/>
      <c r="I285" s="116"/>
    </row>
    <row r="286">
      <c r="A286" s="117">
        <v>46074.93067291667</v>
      </c>
      <c r="B286" s="60" t="s">
        <v>395</v>
      </c>
      <c r="C286" s="60" t="s">
        <v>417</v>
      </c>
      <c r="D286" s="60">
        <v>0.05</v>
      </c>
      <c r="E286" s="60">
        <v>140.0</v>
      </c>
      <c r="F286" s="60">
        <v>7.34</v>
      </c>
      <c r="G286" s="118" t="s">
        <v>452</v>
      </c>
      <c r="H286" s="116"/>
      <c r="I286" s="116"/>
    </row>
    <row r="287">
      <c r="A287" s="117">
        <v>46074.93067291667</v>
      </c>
      <c r="B287" s="60" t="s">
        <v>395</v>
      </c>
      <c r="C287" s="60" t="s">
        <v>313</v>
      </c>
      <c r="D287" s="60">
        <v>0.15</v>
      </c>
      <c r="E287" s="60">
        <v>34.0</v>
      </c>
      <c r="F287" s="60">
        <v>5.1</v>
      </c>
      <c r="G287" s="118" t="s">
        <v>452</v>
      </c>
      <c r="H287" s="116"/>
      <c r="I287" s="116"/>
    </row>
    <row r="288">
      <c r="A288" s="117">
        <v>46074.93067291667</v>
      </c>
      <c r="B288" s="60" t="s">
        <v>395</v>
      </c>
      <c r="C288" s="60" t="s">
        <v>456</v>
      </c>
      <c r="D288" s="60">
        <v>0.66</v>
      </c>
      <c r="E288" s="60">
        <v>3.0</v>
      </c>
      <c r="F288" s="60">
        <v>2.0</v>
      </c>
      <c r="G288" s="118" t="s">
        <v>452</v>
      </c>
      <c r="H288" s="116"/>
      <c r="I288" s="116"/>
    </row>
    <row r="289">
      <c r="A289" s="117">
        <v>46073.9307430787</v>
      </c>
      <c r="B289" s="60" t="s">
        <v>392</v>
      </c>
      <c r="C289" s="60" t="s">
        <v>170</v>
      </c>
      <c r="D289" s="60">
        <v>0.0</v>
      </c>
      <c r="E289" s="60">
        <v>2.0</v>
      </c>
      <c r="F289" s="60">
        <v>0.0</v>
      </c>
      <c r="G289" s="118" t="s">
        <v>457</v>
      </c>
      <c r="H289" s="116"/>
      <c r="I289" s="116"/>
    </row>
    <row r="290">
      <c r="A290" s="117">
        <v>46073.9307430787</v>
      </c>
      <c r="B290" s="60" t="s">
        <v>392</v>
      </c>
      <c r="C290" s="60" t="s">
        <v>212</v>
      </c>
      <c r="D290" s="60">
        <v>0.33</v>
      </c>
      <c r="E290" s="60">
        <v>13.0</v>
      </c>
      <c r="F290" s="60">
        <v>4.3</v>
      </c>
      <c r="G290" s="118" t="s">
        <v>457</v>
      </c>
      <c r="H290" s="116"/>
      <c r="I290" s="116"/>
    </row>
    <row r="291">
      <c r="A291" s="117">
        <v>46073.9307430787</v>
      </c>
      <c r="B291" s="60" t="s">
        <v>392</v>
      </c>
      <c r="C291" s="60" t="s">
        <v>429</v>
      </c>
      <c r="D291" s="60">
        <v>10.0</v>
      </c>
      <c r="E291" s="60">
        <v>1.0</v>
      </c>
      <c r="F291" s="60">
        <v>10.0</v>
      </c>
      <c r="G291" s="118" t="s">
        <v>457</v>
      </c>
      <c r="H291" s="116"/>
      <c r="I291" s="116"/>
    </row>
    <row r="292">
      <c r="A292" s="117">
        <v>46073.9307430787</v>
      </c>
      <c r="B292" s="60" t="s">
        <v>392</v>
      </c>
      <c r="C292" s="60" t="s">
        <v>424</v>
      </c>
      <c r="D292" s="60">
        <v>0.27</v>
      </c>
      <c r="E292" s="60">
        <v>12.0</v>
      </c>
      <c r="F292" s="60">
        <v>3.2</v>
      </c>
      <c r="G292" s="118" t="s">
        <v>457</v>
      </c>
      <c r="H292" s="116"/>
      <c r="I292" s="116"/>
    </row>
    <row r="293">
      <c r="A293" s="117">
        <v>46073.9307430787</v>
      </c>
      <c r="B293" s="60" t="s">
        <v>392</v>
      </c>
      <c r="C293" s="60" t="s">
        <v>89</v>
      </c>
      <c r="D293" s="60">
        <v>0.13</v>
      </c>
      <c r="E293" s="60">
        <v>40.0</v>
      </c>
      <c r="F293" s="60">
        <v>5.2</v>
      </c>
      <c r="G293" s="118" t="s">
        <v>457</v>
      </c>
      <c r="H293" s="116"/>
      <c r="I293" s="116"/>
    </row>
    <row r="294">
      <c r="A294" s="117">
        <v>46073.9307430787</v>
      </c>
      <c r="B294" s="60" t="s">
        <v>392</v>
      </c>
      <c r="C294" s="60" t="s">
        <v>458</v>
      </c>
      <c r="D294" s="60">
        <v>0.13</v>
      </c>
      <c r="E294" s="60">
        <v>75.0</v>
      </c>
      <c r="F294" s="60">
        <v>9.8</v>
      </c>
      <c r="G294" s="118" t="s">
        <v>457</v>
      </c>
      <c r="H294" s="116"/>
      <c r="I294" s="116"/>
    </row>
    <row r="295">
      <c r="A295" s="117">
        <v>46073.9307430787</v>
      </c>
      <c r="B295" s="60" t="s">
        <v>392</v>
      </c>
      <c r="C295" s="60" t="s">
        <v>443</v>
      </c>
      <c r="D295" s="60">
        <v>0.15</v>
      </c>
      <c r="E295" s="60">
        <v>5.0</v>
      </c>
      <c r="F295" s="60">
        <v>0.8</v>
      </c>
      <c r="G295" s="118" t="s">
        <v>457</v>
      </c>
      <c r="H295" s="116"/>
      <c r="I295" s="116"/>
    </row>
    <row r="296">
      <c r="A296" s="117">
        <v>46073.9307430787</v>
      </c>
      <c r="B296" s="60" t="s">
        <v>392</v>
      </c>
      <c r="C296" s="60" t="s">
        <v>328</v>
      </c>
      <c r="D296" s="60">
        <v>0.07</v>
      </c>
      <c r="E296" s="60">
        <v>20.0</v>
      </c>
      <c r="F296" s="60">
        <v>1.4</v>
      </c>
      <c r="G296" s="118" t="s">
        <v>457</v>
      </c>
      <c r="H296" s="116"/>
      <c r="I296" s="116"/>
    </row>
    <row r="297">
      <c r="A297" s="117">
        <v>46072.93074217593</v>
      </c>
      <c r="B297" s="60" t="s">
        <v>392</v>
      </c>
      <c r="C297" s="60" t="s">
        <v>429</v>
      </c>
      <c r="D297" s="60">
        <v>10.0</v>
      </c>
      <c r="E297" s="60">
        <v>1.5</v>
      </c>
      <c r="F297" s="60">
        <v>15.0</v>
      </c>
      <c r="G297" s="118" t="s">
        <v>459</v>
      </c>
      <c r="H297" s="116"/>
      <c r="I297" s="116"/>
    </row>
    <row r="298">
      <c r="A298" s="117">
        <v>46072.93074217593</v>
      </c>
      <c r="B298" s="60" t="s">
        <v>392</v>
      </c>
      <c r="C298" s="60" t="s">
        <v>233</v>
      </c>
      <c r="D298" s="60">
        <v>0.13</v>
      </c>
      <c r="E298" s="60">
        <v>18.0</v>
      </c>
      <c r="F298" s="60">
        <v>2.3</v>
      </c>
      <c r="G298" s="118" t="s">
        <v>459</v>
      </c>
      <c r="H298" s="116"/>
      <c r="I298" s="116"/>
    </row>
    <row r="299">
      <c r="A299" s="117">
        <v>46072.93074217593</v>
      </c>
      <c r="B299" s="60" t="s">
        <v>392</v>
      </c>
      <c r="C299" s="60" t="s">
        <v>98</v>
      </c>
      <c r="D299" s="60">
        <v>0.18</v>
      </c>
      <c r="E299" s="60">
        <v>45.0</v>
      </c>
      <c r="F299" s="60">
        <v>8.1</v>
      </c>
      <c r="G299" s="118" t="s">
        <v>459</v>
      </c>
      <c r="H299" s="116"/>
      <c r="I299" s="116"/>
    </row>
    <row r="300">
      <c r="A300" s="117">
        <v>46072.93074217593</v>
      </c>
      <c r="B300" s="60" t="s">
        <v>392</v>
      </c>
      <c r="C300" s="60" t="s">
        <v>436</v>
      </c>
      <c r="D300" s="60">
        <v>4.0</v>
      </c>
      <c r="E300" s="60">
        <v>1.0</v>
      </c>
      <c r="F300" s="60">
        <v>4.0</v>
      </c>
      <c r="G300" s="118" t="s">
        <v>459</v>
      </c>
      <c r="H300" s="116"/>
      <c r="I300" s="116"/>
    </row>
    <row r="301">
      <c r="A301" s="117">
        <v>46072.93074217593</v>
      </c>
      <c r="B301" s="60" t="s">
        <v>394</v>
      </c>
      <c r="C301" s="60" t="s">
        <v>89</v>
      </c>
      <c r="D301" s="60">
        <v>0.13</v>
      </c>
      <c r="E301" s="60">
        <v>54.0</v>
      </c>
      <c r="F301" s="60">
        <v>7.0</v>
      </c>
      <c r="G301" s="118" t="s">
        <v>459</v>
      </c>
      <c r="H301" s="116"/>
      <c r="I301" s="116"/>
    </row>
    <row r="302">
      <c r="A302" s="117">
        <v>46072.93074217593</v>
      </c>
      <c r="B302" s="60" t="s">
        <v>395</v>
      </c>
      <c r="C302" s="60" t="s">
        <v>438</v>
      </c>
      <c r="D302" s="60">
        <v>0.0</v>
      </c>
      <c r="E302" s="60">
        <v>50.0</v>
      </c>
      <c r="F302" s="60">
        <v>0.0</v>
      </c>
      <c r="G302" s="118" t="s">
        <v>459</v>
      </c>
      <c r="H302" s="116"/>
      <c r="I302" s="116"/>
    </row>
    <row r="303">
      <c r="A303" s="117">
        <v>46072.93074217593</v>
      </c>
      <c r="B303" s="60" t="s">
        <v>395</v>
      </c>
      <c r="C303" s="60" t="s">
        <v>87</v>
      </c>
      <c r="D303" s="60">
        <v>0.27</v>
      </c>
      <c r="E303" s="60">
        <v>100.0</v>
      </c>
      <c r="F303" s="60">
        <v>27.0</v>
      </c>
      <c r="G303" s="118" t="s">
        <v>459</v>
      </c>
      <c r="H303" s="116"/>
      <c r="I303" s="116"/>
    </row>
    <row r="304">
      <c r="A304" s="117">
        <v>46072.93074217593</v>
      </c>
      <c r="B304" s="60" t="s">
        <v>395</v>
      </c>
      <c r="C304" s="60" t="s">
        <v>328</v>
      </c>
      <c r="D304" s="60">
        <v>0.07</v>
      </c>
      <c r="E304" s="60">
        <v>17.0</v>
      </c>
      <c r="F304" s="60">
        <v>1.2</v>
      </c>
      <c r="G304" s="118" t="s">
        <v>459</v>
      </c>
      <c r="H304" s="116"/>
      <c r="I304" s="116"/>
    </row>
    <row r="305">
      <c r="A305" s="117">
        <v>46072.93074217593</v>
      </c>
      <c r="B305" s="60" t="s">
        <v>395</v>
      </c>
      <c r="C305" s="60" t="s">
        <v>426</v>
      </c>
      <c r="D305" s="60">
        <v>1.0</v>
      </c>
      <c r="E305" s="60">
        <v>5.0</v>
      </c>
      <c r="F305" s="60">
        <v>5.0</v>
      </c>
      <c r="G305" s="118" t="s">
        <v>459</v>
      </c>
      <c r="H305" s="116"/>
      <c r="I305" s="116"/>
    </row>
    <row r="306">
      <c r="A306" s="117">
        <v>46072.93074217593</v>
      </c>
      <c r="B306" s="60" t="s">
        <v>399</v>
      </c>
      <c r="C306" s="60" t="s">
        <v>104</v>
      </c>
      <c r="D306" s="60">
        <v>0.05</v>
      </c>
      <c r="E306" s="60">
        <v>21.0</v>
      </c>
      <c r="F306" s="60">
        <v>1.1</v>
      </c>
      <c r="G306" s="118" t="s">
        <v>459</v>
      </c>
      <c r="H306" s="116"/>
      <c r="I306" s="116"/>
    </row>
    <row r="307">
      <c r="A307" s="117">
        <v>46071.930862685185</v>
      </c>
      <c r="B307" s="60" t="s">
        <v>392</v>
      </c>
      <c r="C307" s="60" t="s">
        <v>429</v>
      </c>
      <c r="D307" s="60">
        <v>10.0</v>
      </c>
      <c r="E307" s="60">
        <v>1.5</v>
      </c>
      <c r="F307" s="60">
        <v>15.0</v>
      </c>
      <c r="G307" s="118" t="s">
        <v>460</v>
      </c>
      <c r="H307" s="116"/>
      <c r="I307" s="116"/>
    </row>
    <row r="308">
      <c r="A308" s="117">
        <v>46071.930862685185</v>
      </c>
      <c r="B308" s="60" t="s">
        <v>392</v>
      </c>
      <c r="C308" s="60" t="s">
        <v>98</v>
      </c>
      <c r="D308" s="60">
        <v>0.18</v>
      </c>
      <c r="E308" s="60">
        <v>40.0</v>
      </c>
      <c r="F308" s="60">
        <v>7.2</v>
      </c>
      <c r="G308" s="118" t="s">
        <v>460</v>
      </c>
      <c r="H308" s="116"/>
      <c r="I308" s="116"/>
    </row>
    <row r="309">
      <c r="A309" s="117">
        <v>46071.930862685185</v>
      </c>
      <c r="B309" s="60" t="s">
        <v>392</v>
      </c>
      <c r="C309" s="60" t="s">
        <v>125</v>
      </c>
      <c r="D309" s="60">
        <v>0.08</v>
      </c>
      <c r="E309" s="60">
        <v>50.0</v>
      </c>
      <c r="F309" s="60">
        <v>4.0</v>
      </c>
      <c r="G309" s="118" t="s">
        <v>460</v>
      </c>
      <c r="H309" s="116"/>
      <c r="I309" s="116"/>
    </row>
    <row r="310">
      <c r="A310" s="117">
        <v>46071.930862685185</v>
      </c>
      <c r="B310" s="60" t="s">
        <v>392</v>
      </c>
      <c r="C310" s="60" t="s">
        <v>233</v>
      </c>
      <c r="D310" s="60">
        <v>0.13</v>
      </c>
      <c r="E310" s="60">
        <v>18.0</v>
      </c>
      <c r="F310" s="60">
        <v>2.3</v>
      </c>
      <c r="G310" s="118" t="s">
        <v>460</v>
      </c>
      <c r="H310" s="116"/>
      <c r="I310" s="116"/>
    </row>
    <row r="311">
      <c r="A311" s="117">
        <v>46071.930862685185</v>
      </c>
      <c r="B311" s="60" t="s">
        <v>394</v>
      </c>
      <c r="C311" s="60" t="s">
        <v>111</v>
      </c>
      <c r="D311" s="60">
        <v>0.12</v>
      </c>
      <c r="E311" s="60">
        <v>51.0</v>
      </c>
      <c r="F311" s="60">
        <v>6.1</v>
      </c>
      <c r="G311" s="118" t="s">
        <v>460</v>
      </c>
      <c r="H311" s="116"/>
      <c r="I311" s="116"/>
    </row>
    <row r="312">
      <c r="A312" s="117">
        <v>46071.930862685185</v>
      </c>
      <c r="B312" s="60" t="s">
        <v>394</v>
      </c>
      <c r="C312" s="60" t="s">
        <v>294</v>
      </c>
      <c r="D312" s="60">
        <v>0.05</v>
      </c>
      <c r="E312" s="60">
        <v>20.0</v>
      </c>
      <c r="F312" s="60">
        <v>1.0</v>
      </c>
      <c r="G312" s="118" t="s">
        <v>460</v>
      </c>
      <c r="H312" s="116"/>
      <c r="I312" s="116"/>
    </row>
    <row r="313">
      <c r="A313" s="117">
        <v>46071.930862685185</v>
      </c>
      <c r="B313" s="60" t="s">
        <v>397</v>
      </c>
      <c r="C313" s="60" t="s">
        <v>325</v>
      </c>
      <c r="D313" s="60">
        <v>0.05</v>
      </c>
      <c r="E313" s="60">
        <v>40.0</v>
      </c>
      <c r="F313" s="60">
        <v>2.0</v>
      </c>
      <c r="G313" s="118" t="s">
        <v>460</v>
      </c>
      <c r="H313" s="116"/>
      <c r="I313" s="116"/>
    </row>
    <row r="314">
      <c r="A314" s="117">
        <v>46071.930862685185</v>
      </c>
      <c r="B314" s="60" t="s">
        <v>395</v>
      </c>
      <c r="C314" s="60" t="s">
        <v>461</v>
      </c>
      <c r="D314" s="60">
        <v>0.03</v>
      </c>
      <c r="E314" s="60">
        <v>41.0</v>
      </c>
      <c r="F314" s="60">
        <v>1.2</v>
      </c>
      <c r="G314" s="118" t="s">
        <v>460</v>
      </c>
      <c r="H314" s="116"/>
      <c r="I314" s="116"/>
    </row>
    <row r="315">
      <c r="A315" s="117">
        <v>46071.930862685185</v>
      </c>
      <c r="B315" s="60" t="s">
        <v>395</v>
      </c>
      <c r="C315" s="60" t="s">
        <v>462</v>
      </c>
      <c r="D315" s="60">
        <v>0.02</v>
      </c>
      <c r="E315" s="60">
        <v>80.0</v>
      </c>
      <c r="F315" s="60">
        <v>1.6</v>
      </c>
      <c r="G315" s="118" t="s">
        <v>460</v>
      </c>
      <c r="H315" s="116"/>
      <c r="I315" s="116"/>
    </row>
    <row r="316">
      <c r="A316" s="117">
        <v>46071.930862685185</v>
      </c>
      <c r="B316" s="60" t="s">
        <v>395</v>
      </c>
      <c r="C316" s="60" t="s">
        <v>232</v>
      </c>
      <c r="D316" s="60">
        <v>0.14</v>
      </c>
      <c r="E316" s="60">
        <v>60.0</v>
      </c>
      <c r="F316" s="60">
        <v>8.4</v>
      </c>
      <c r="G316" s="118" t="s">
        <v>460</v>
      </c>
      <c r="H316" s="116"/>
      <c r="I316" s="116"/>
    </row>
    <row r="317">
      <c r="A317" s="117">
        <v>46071.930862685185</v>
      </c>
      <c r="B317" s="60" t="s">
        <v>395</v>
      </c>
      <c r="C317" s="60" t="s">
        <v>328</v>
      </c>
      <c r="D317" s="60">
        <v>0.07</v>
      </c>
      <c r="E317" s="60">
        <v>14.0</v>
      </c>
      <c r="F317" s="60">
        <v>1.0</v>
      </c>
      <c r="G317" s="118" t="s">
        <v>460</v>
      </c>
      <c r="H317" s="116"/>
      <c r="I317" s="116"/>
    </row>
    <row r="318">
      <c r="A318" s="117">
        <v>46071.930862685185</v>
      </c>
      <c r="B318" s="60" t="s">
        <v>395</v>
      </c>
      <c r="C318" s="60" t="s">
        <v>463</v>
      </c>
      <c r="D318" s="60">
        <v>0.39</v>
      </c>
      <c r="E318" s="60">
        <v>18.0</v>
      </c>
      <c r="F318" s="60">
        <v>7.0</v>
      </c>
      <c r="G318" s="118" t="s">
        <v>460</v>
      </c>
      <c r="H318" s="116"/>
      <c r="I318" s="116"/>
    </row>
    <row r="319">
      <c r="A319" s="117">
        <v>46071.930862685185</v>
      </c>
      <c r="B319" s="60" t="s">
        <v>395</v>
      </c>
      <c r="C319" s="60" t="s">
        <v>462</v>
      </c>
      <c r="D319" s="60">
        <v>0.02</v>
      </c>
      <c r="E319" s="60">
        <v>67.0</v>
      </c>
      <c r="F319" s="60">
        <v>1.3</v>
      </c>
      <c r="G319" s="118" t="s">
        <v>460</v>
      </c>
      <c r="H319" s="116"/>
      <c r="I319" s="116"/>
    </row>
    <row r="320">
      <c r="A320" s="117">
        <v>46071.930862685185</v>
      </c>
      <c r="B320" s="60" t="s">
        <v>399</v>
      </c>
      <c r="C320" s="60" t="s">
        <v>325</v>
      </c>
      <c r="D320" s="60">
        <v>0.05</v>
      </c>
      <c r="E320" s="60">
        <v>60.0</v>
      </c>
      <c r="F320" s="60">
        <v>3.0</v>
      </c>
      <c r="G320" s="118" t="s">
        <v>460</v>
      </c>
      <c r="H320" s="116"/>
      <c r="I320" s="116"/>
    </row>
    <row r="321">
      <c r="A321" s="117">
        <v>46070.93070185185</v>
      </c>
      <c r="B321" s="60" t="s">
        <v>392</v>
      </c>
      <c r="C321" s="60" t="s">
        <v>463</v>
      </c>
      <c r="D321" s="60">
        <v>12.0</v>
      </c>
      <c r="E321" s="60">
        <v>1.0</v>
      </c>
      <c r="F321" s="60">
        <v>12.0</v>
      </c>
      <c r="G321" s="118" t="s">
        <v>464</v>
      </c>
      <c r="H321" s="116"/>
      <c r="I321" s="116"/>
    </row>
    <row r="322">
      <c r="A322" s="117">
        <v>46070.93070185185</v>
      </c>
      <c r="B322" s="60" t="s">
        <v>392</v>
      </c>
      <c r="C322" s="60" t="s">
        <v>170</v>
      </c>
      <c r="D322" s="60">
        <v>0.0</v>
      </c>
      <c r="E322" s="60">
        <v>2.0</v>
      </c>
      <c r="F322" s="60">
        <v>0.0</v>
      </c>
      <c r="G322" s="118" t="s">
        <v>464</v>
      </c>
      <c r="H322" s="116"/>
      <c r="I322" s="116"/>
    </row>
    <row r="323">
      <c r="A323" s="117">
        <v>46070.93070185185</v>
      </c>
      <c r="B323" s="60" t="s">
        <v>392</v>
      </c>
      <c r="C323" s="60" t="s">
        <v>212</v>
      </c>
      <c r="D323" s="60">
        <v>0.33</v>
      </c>
      <c r="E323" s="60">
        <v>12.0</v>
      </c>
      <c r="F323" s="60">
        <v>4.0</v>
      </c>
      <c r="G323" s="118" t="s">
        <v>464</v>
      </c>
      <c r="H323" s="116"/>
      <c r="I323" s="116"/>
    </row>
    <row r="324">
      <c r="A324" s="117">
        <v>46070.93070185185</v>
      </c>
      <c r="B324" s="60" t="s">
        <v>392</v>
      </c>
      <c r="C324" s="60" t="s">
        <v>465</v>
      </c>
      <c r="D324" s="60">
        <v>0.14</v>
      </c>
      <c r="E324" s="60">
        <v>45.0</v>
      </c>
      <c r="F324" s="60">
        <v>6.3</v>
      </c>
      <c r="G324" s="118" t="s">
        <v>464</v>
      </c>
      <c r="H324" s="116"/>
      <c r="I324" s="116"/>
    </row>
    <row r="325">
      <c r="A325" s="117">
        <v>46070.93070185185</v>
      </c>
      <c r="B325" s="60" t="s">
        <v>398</v>
      </c>
      <c r="C325" s="60" t="s">
        <v>89</v>
      </c>
      <c r="D325" s="60">
        <v>0.13</v>
      </c>
      <c r="E325" s="60">
        <v>63.0</v>
      </c>
      <c r="F325" s="60">
        <v>8.2</v>
      </c>
      <c r="G325" s="118" t="s">
        <v>464</v>
      </c>
      <c r="H325" s="116"/>
      <c r="I325" s="116"/>
    </row>
    <row r="326">
      <c r="A326" s="117">
        <v>46070.93070185185</v>
      </c>
      <c r="B326" s="60" t="s">
        <v>398</v>
      </c>
      <c r="C326" s="60" t="s">
        <v>125</v>
      </c>
      <c r="D326" s="60">
        <v>0.08</v>
      </c>
      <c r="E326" s="60">
        <v>55.0</v>
      </c>
      <c r="F326" s="60">
        <v>4.4</v>
      </c>
      <c r="G326" s="118" t="s">
        <v>464</v>
      </c>
      <c r="H326" s="116"/>
      <c r="I326" s="116"/>
    </row>
    <row r="327">
      <c r="A327" s="117">
        <v>46070.93070185185</v>
      </c>
      <c r="B327" s="60" t="s">
        <v>395</v>
      </c>
      <c r="C327" s="60" t="s">
        <v>439</v>
      </c>
      <c r="D327" s="60">
        <v>0.31</v>
      </c>
      <c r="E327" s="60">
        <v>70.0</v>
      </c>
      <c r="F327" s="60">
        <v>21.7</v>
      </c>
      <c r="G327" s="118" t="s">
        <v>464</v>
      </c>
      <c r="H327" s="116"/>
      <c r="I327" s="116"/>
    </row>
    <row r="328">
      <c r="A328" s="117">
        <v>46070.93070185185</v>
      </c>
      <c r="B328" s="60" t="s">
        <v>395</v>
      </c>
      <c r="C328" s="60" t="s">
        <v>462</v>
      </c>
      <c r="D328" s="60">
        <v>0.02</v>
      </c>
      <c r="E328" s="60">
        <v>60.0</v>
      </c>
      <c r="F328" s="60">
        <v>1.2</v>
      </c>
      <c r="G328" s="118" t="s">
        <v>464</v>
      </c>
      <c r="H328" s="116"/>
      <c r="I328" s="116"/>
    </row>
    <row r="329">
      <c r="A329" s="117">
        <v>46070.93070185185</v>
      </c>
      <c r="B329" s="60" t="s">
        <v>395</v>
      </c>
      <c r="C329" s="60" t="s">
        <v>466</v>
      </c>
      <c r="D329" s="60">
        <v>1.72</v>
      </c>
      <c r="E329" s="60">
        <v>3.0</v>
      </c>
      <c r="F329" s="60">
        <v>5.2</v>
      </c>
      <c r="G329" s="118" t="s">
        <v>464</v>
      </c>
      <c r="H329" s="116"/>
      <c r="I329" s="116"/>
    </row>
    <row r="330">
      <c r="A330" s="117">
        <v>46070.93070185185</v>
      </c>
      <c r="B330" s="60" t="s">
        <v>395</v>
      </c>
      <c r="C330" s="60" t="s">
        <v>328</v>
      </c>
      <c r="D330" s="60">
        <v>0.07</v>
      </c>
      <c r="E330" s="60">
        <v>17.0</v>
      </c>
      <c r="F330" s="60">
        <v>1.2</v>
      </c>
      <c r="G330" s="118" t="s">
        <v>464</v>
      </c>
      <c r="H330" s="116"/>
      <c r="I330" s="116"/>
    </row>
    <row r="331">
      <c r="A331" s="117">
        <v>46070.93070185185</v>
      </c>
      <c r="B331" s="60" t="s">
        <v>395</v>
      </c>
      <c r="C331" s="60" t="s">
        <v>111</v>
      </c>
      <c r="D331" s="60">
        <v>0.12</v>
      </c>
      <c r="E331" s="60">
        <v>23.0</v>
      </c>
      <c r="F331" s="60">
        <v>2.8</v>
      </c>
      <c r="G331" s="118" t="s">
        <v>464</v>
      </c>
      <c r="H331" s="116"/>
      <c r="I331" s="116"/>
    </row>
    <row r="332">
      <c r="A332" s="117">
        <v>46069.930691574074</v>
      </c>
      <c r="B332" s="60" t="s">
        <v>392</v>
      </c>
      <c r="C332" s="60" t="s">
        <v>429</v>
      </c>
      <c r="D332" s="60">
        <v>10.0</v>
      </c>
      <c r="E332" s="60">
        <v>1.5</v>
      </c>
      <c r="F332" s="60">
        <v>15.0</v>
      </c>
      <c r="G332" s="118" t="s">
        <v>467</v>
      </c>
      <c r="H332" s="116"/>
      <c r="I332" s="116"/>
    </row>
    <row r="333">
      <c r="A333" s="117">
        <v>46069.930691574074</v>
      </c>
      <c r="B333" s="60" t="s">
        <v>392</v>
      </c>
      <c r="C333" s="60" t="s">
        <v>98</v>
      </c>
      <c r="D333" s="60">
        <v>0.18</v>
      </c>
      <c r="E333" s="60">
        <v>40.0</v>
      </c>
      <c r="F333" s="60">
        <v>7.2</v>
      </c>
      <c r="G333" s="118" t="s">
        <v>467</v>
      </c>
      <c r="H333" s="116"/>
      <c r="I333" s="116"/>
    </row>
    <row r="334">
      <c r="A334" s="117">
        <v>46069.930691574074</v>
      </c>
      <c r="B334" s="60" t="s">
        <v>392</v>
      </c>
      <c r="C334" s="60" t="s">
        <v>125</v>
      </c>
      <c r="D334" s="60">
        <v>0.08</v>
      </c>
      <c r="E334" s="60">
        <v>50.0</v>
      </c>
      <c r="F334" s="60">
        <v>4.0</v>
      </c>
      <c r="G334" s="118" t="s">
        <v>467</v>
      </c>
      <c r="H334" s="116"/>
      <c r="I334" s="116"/>
    </row>
    <row r="335">
      <c r="A335" s="117">
        <v>46069.930691574074</v>
      </c>
      <c r="B335" s="60" t="s">
        <v>392</v>
      </c>
      <c r="C335" s="60" t="s">
        <v>233</v>
      </c>
      <c r="D335" s="60">
        <v>0.13</v>
      </c>
      <c r="E335" s="60">
        <v>18.0</v>
      </c>
      <c r="F335" s="60">
        <v>2.3</v>
      </c>
      <c r="G335" s="118" t="s">
        <v>467</v>
      </c>
      <c r="H335" s="116"/>
      <c r="I335" s="116"/>
    </row>
    <row r="336">
      <c r="A336" s="117">
        <v>46069.930691574074</v>
      </c>
      <c r="B336" s="60" t="s">
        <v>398</v>
      </c>
      <c r="C336" s="60" t="s">
        <v>294</v>
      </c>
      <c r="D336" s="60">
        <v>0.05</v>
      </c>
      <c r="E336" s="60">
        <v>60.0</v>
      </c>
      <c r="F336" s="60">
        <v>3.0</v>
      </c>
      <c r="G336" s="118" t="s">
        <v>467</v>
      </c>
      <c r="H336" s="116"/>
      <c r="I336" s="116"/>
    </row>
    <row r="337">
      <c r="A337" s="117">
        <v>46069.930691574074</v>
      </c>
      <c r="B337" s="60" t="s">
        <v>395</v>
      </c>
      <c r="C337" s="60" t="s">
        <v>468</v>
      </c>
      <c r="D337" s="60">
        <v>0.27</v>
      </c>
      <c r="E337" s="60">
        <v>110.0</v>
      </c>
      <c r="F337" s="60">
        <v>29.7</v>
      </c>
      <c r="G337" s="118" t="s">
        <v>467</v>
      </c>
      <c r="H337" s="116"/>
      <c r="I337" s="116"/>
    </row>
    <row r="338">
      <c r="A338" s="117">
        <v>46069.930691574074</v>
      </c>
      <c r="B338" s="60" t="s">
        <v>395</v>
      </c>
      <c r="C338" s="60" t="s">
        <v>316</v>
      </c>
      <c r="D338" s="60">
        <v>0.03</v>
      </c>
      <c r="E338" s="60">
        <v>80.0</v>
      </c>
      <c r="F338" s="60">
        <v>2.4</v>
      </c>
      <c r="G338" s="118" t="s">
        <v>467</v>
      </c>
      <c r="H338" s="116"/>
      <c r="I338" s="116"/>
    </row>
    <row r="339">
      <c r="A339" s="117">
        <v>46069.930691574074</v>
      </c>
      <c r="B339" s="60" t="s">
        <v>395</v>
      </c>
      <c r="C339" s="60" t="s">
        <v>205</v>
      </c>
      <c r="D339" s="60">
        <v>0.08</v>
      </c>
      <c r="E339" s="60">
        <v>40.0</v>
      </c>
      <c r="F339" s="60">
        <v>3.2</v>
      </c>
      <c r="G339" s="118" t="s">
        <v>467</v>
      </c>
      <c r="H339" s="116"/>
      <c r="I339" s="116"/>
    </row>
    <row r="340">
      <c r="A340" s="117">
        <v>46069.930691574074</v>
      </c>
      <c r="B340" s="60" t="s">
        <v>395</v>
      </c>
      <c r="C340" s="60" t="s">
        <v>232</v>
      </c>
      <c r="D340" s="60">
        <v>0.14</v>
      </c>
      <c r="E340" s="60">
        <v>60.0</v>
      </c>
      <c r="F340" s="60">
        <v>8.4</v>
      </c>
      <c r="G340" s="118" t="s">
        <v>467</v>
      </c>
      <c r="H340" s="116"/>
      <c r="I340" s="116"/>
    </row>
    <row r="341">
      <c r="A341" s="117">
        <v>46069.930691574074</v>
      </c>
      <c r="B341" s="60" t="s">
        <v>399</v>
      </c>
      <c r="C341" s="60" t="s">
        <v>205</v>
      </c>
      <c r="D341" s="60">
        <v>0.08</v>
      </c>
      <c r="E341" s="60">
        <v>25.0</v>
      </c>
      <c r="F341" s="60">
        <v>2.0</v>
      </c>
      <c r="G341" s="118" t="s">
        <v>467</v>
      </c>
      <c r="H341" s="116"/>
      <c r="I341" s="116"/>
    </row>
    <row r="342">
      <c r="A342" s="117">
        <v>46068.93068607639</v>
      </c>
      <c r="B342" s="60" t="s">
        <v>392</v>
      </c>
      <c r="C342" s="60" t="s">
        <v>125</v>
      </c>
      <c r="D342" s="60">
        <v>0.08</v>
      </c>
      <c r="E342" s="60">
        <v>65.0</v>
      </c>
      <c r="F342" s="60">
        <v>5.2</v>
      </c>
      <c r="G342" s="118" t="s">
        <v>469</v>
      </c>
      <c r="H342" s="116"/>
      <c r="I342" s="116"/>
    </row>
    <row r="343">
      <c r="A343" s="117">
        <v>46068.93068607639</v>
      </c>
      <c r="B343" s="60" t="s">
        <v>392</v>
      </c>
      <c r="C343" s="60" t="s">
        <v>426</v>
      </c>
      <c r="D343" s="60">
        <v>1.0</v>
      </c>
      <c r="E343" s="60">
        <v>1.0</v>
      </c>
      <c r="F343" s="60">
        <v>1.0</v>
      </c>
      <c r="G343" s="118" t="s">
        <v>469</v>
      </c>
      <c r="H343" s="116"/>
      <c r="I343" s="116"/>
    </row>
    <row r="344">
      <c r="A344" s="117">
        <v>46068.93068607639</v>
      </c>
      <c r="B344" s="60" t="s">
        <v>392</v>
      </c>
      <c r="C344" s="60" t="s">
        <v>429</v>
      </c>
      <c r="D344" s="60">
        <v>10.0</v>
      </c>
      <c r="E344" s="60">
        <v>1.0</v>
      </c>
      <c r="F344" s="60">
        <v>10.0</v>
      </c>
      <c r="G344" s="118" t="s">
        <v>469</v>
      </c>
      <c r="H344" s="116"/>
      <c r="I344" s="116"/>
    </row>
    <row r="345">
      <c r="A345" s="117">
        <v>46068.93068607639</v>
      </c>
      <c r="B345" s="60" t="s">
        <v>392</v>
      </c>
      <c r="C345" s="60" t="s">
        <v>470</v>
      </c>
      <c r="D345" s="60">
        <v>7.0</v>
      </c>
      <c r="E345" s="60">
        <v>1.0</v>
      </c>
      <c r="F345" s="60">
        <v>7.0</v>
      </c>
      <c r="G345" s="118" t="s">
        <v>469</v>
      </c>
      <c r="H345" s="116"/>
      <c r="I345" s="116"/>
    </row>
    <row r="346">
      <c r="A346" s="117">
        <v>46068.93068607639</v>
      </c>
      <c r="B346" s="60" t="s">
        <v>392</v>
      </c>
      <c r="C346" s="60" t="s">
        <v>294</v>
      </c>
      <c r="D346" s="60">
        <v>0.05</v>
      </c>
      <c r="E346" s="60">
        <v>30.0</v>
      </c>
      <c r="F346" s="60">
        <v>1.5</v>
      </c>
      <c r="G346" s="118" t="s">
        <v>469</v>
      </c>
      <c r="H346" s="116"/>
      <c r="I346" s="116"/>
    </row>
    <row r="347">
      <c r="A347" s="117">
        <v>46068.93068607639</v>
      </c>
      <c r="B347" s="60" t="s">
        <v>397</v>
      </c>
      <c r="C347" s="60" t="s">
        <v>170</v>
      </c>
      <c r="D347" s="60">
        <v>0.0</v>
      </c>
      <c r="E347" s="60">
        <v>2.0</v>
      </c>
      <c r="F347" s="60">
        <v>0.0</v>
      </c>
      <c r="G347" s="118" t="s">
        <v>469</v>
      </c>
      <c r="H347" s="116"/>
      <c r="I347" s="116"/>
    </row>
    <row r="348">
      <c r="A348" s="117">
        <v>46068.93068607639</v>
      </c>
      <c r="B348" s="60" t="s">
        <v>397</v>
      </c>
      <c r="C348" s="60" t="s">
        <v>212</v>
      </c>
      <c r="D348" s="60">
        <v>0.33</v>
      </c>
      <c r="E348" s="60">
        <v>12.0</v>
      </c>
      <c r="F348" s="60">
        <v>4.0</v>
      </c>
      <c r="G348" s="118" t="s">
        <v>469</v>
      </c>
      <c r="H348" s="116"/>
      <c r="I348" s="116"/>
    </row>
    <row r="349">
      <c r="A349" s="117">
        <v>46068.93068607639</v>
      </c>
      <c r="B349" s="60" t="s">
        <v>397</v>
      </c>
      <c r="C349" s="60" t="s">
        <v>325</v>
      </c>
      <c r="D349" s="60">
        <v>0.05</v>
      </c>
      <c r="E349" s="60">
        <v>60.0</v>
      </c>
      <c r="F349" s="60">
        <v>3.0</v>
      </c>
      <c r="G349" s="118" t="s">
        <v>469</v>
      </c>
      <c r="H349" s="116"/>
      <c r="I349" s="116"/>
    </row>
    <row r="350">
      <c r="A350" s="117">
        <v>46068.93068607639</v>
      </c>
      <c r="B350" s="60" t="s">
        <v>395</v>
      </c>
      <c r="C350" s="60" t="s">
        <v>471</v>
      </c>
      <c r="D350" s="60">
        <v>0.66</v>
      </c>
      <c r="E350" s="60">
        <v>3.0</v>
      </c>
      <c r="F350" s="60">
        <v>2.0</v>
      </c>
      <c r="G350" s="118" t="s">
        <v>469</v>
      </c>
      <c r="H350" s="116"/>
      <c r="I350" s="116"/>
    </row>
    <row r="351">
      <c r="A351" s="117">
        <v>46068.93068607639</v>
      </c>
      <c r="B351" s="60" t="s">
        <v>395</v>
      </c>
      <c r="C351" s="60" t="s">
        <v>472</v>
      </c>
      <c r="D351" s="60">
        <v>4.0</v>
      </c>
      <c r="E351" s="60">
        <v>2.0</v>
      </c>
      <c r="F351" s="60">
        <v>8.0</v>
      </c>
      <c r="G351" s="118" t="s">
        <v>469</v>
      </c>
      <c r="H351" s="116"/>
      <c r="I351" s="116"/>
    </row>
    <row r="352">
      <c r="A352" s="117">
        <v>46068.93068607639</v>
      </c>
      <c r="B352" s="60" t="s">
        <v>395</v>
      </c>
      <c r="C352" s="60" t="s">
        <v>444</v>
      </c>
      <c r="D352" s="60">
        <v>0.07</v>
      </c>
      <c r="E352" s="60">
        <v>21.0</v>
      </c>
      <c r="F352" s="60">
        <v>1.5</v>
      </c>
      <c r="G352" s="118" t="s">
        <v>469</v>
      </c>
      <c r="H352" s="116"/>
      <c r="I352" s="116"/>
    </row>
    <row r="353">
      <c r="A353" s="117">
        <v>46068.93068607639</v>
      </c>
      <c r="B353" s="60" t="s">
        <v>395</v>
      </c>
      <c r="C353" s="60" t="s">
        <v>104</v>
      </c>
      <c r="D353" s="60">
        <v>0.05</v>
      </c>
      <c r="E353" s="60">
        <v>23.0</v>
      </c>
      <c r="F353" s="60">
        <v>1.2</v>
      </c>
      <c r="G353" s="118" t="s">
        <v>469</v>
      </c>
      <c r="H353" s="116"/>
      <c r="I353" s="116"/>
    </row>
    <row r="354">
      <c r="A354" s="117">
        <v>46068.93068607639</v>
      </c>
      <c r="B354" s="60" t="s">
        <v>395</v>
      </c>
      <c r="C354" s="60" t="s">
        <v>115</v>
      </c>
      <c r="D354" s="60">
        <v>0.03</v>
      </c>
      <c r="E354" s="60">
        <v>14.0</v>
      </c>
      <c r="F354" s="60">
        <v>0.4</v>
      </c>
      <c r="G354" s="118" t="s">
        <v>469</v>
      </c>
      <c r="H354" s="116"/>
      <c r="I354" s="116"/>
    </row>
    <row r="355">
      <c r="A355" s="117">
        <v>46067.93069166667</v>
      </c>
      <c r="B355" s="60" t="s">
        <v>392</v>
      </c>
      <c r="C355" s="60" t="s">
        <v>170</v>
      </c>
      <c r="D355" s="60">
        <v>0.0</v>
      </c>
      <c r="E355" s="60">
        <v>2.0</v>
      </c>
      <c r="F355" s="60">
        <v>0.0</v>
      </c>
      <c r="G355" s="118" t="s">
        <v>473</v>
      </c>
      <c r="H355" s="116"/>
      <c r="I355" s="116"/>
    </row>
    <row r="356">
      <c r="A356" s="117">
        <v>46067.93069166667</v>
      </c>
      <c r="B356" s="60" t="s">
        <v>392</v>
      </c>
      <c r="C356" s="60" t="s">
        <v>429</v>
      </c>
      <c r="D356" s="60">
        <v>10.0</v>
      </c>
      <c r="E356" s="60">
        <v>1.0</v>
      </c>
      <c r="F356" s="60">
        <v>10.0</v>
      </c>
      <c r="G356" s="118" t="s">
        <v>473</v>
      </c>
      <c r="H356" s="116"/>
      <c r="I356" s="116"/>
    </row>
    <row r="357">
      <c r="A357" s="117">
        <v>46067.93069166667</v>
      </c>
      <c r="B357" s="60" t="s">
        <v>392</v>
      </c>
      <c r="C357" s="60" t="s">
        <v>212</v>
      </c>
      <c r="D357" s="60">
        <v>0.33</v>
      </c>
      <c r="E357" s="60">
        <v>12.0</v>
      </c>
      <c r="F357" s="60">
        <v>4.0</v>
      </c>
      <c r="G357" s="118" t="s">
        <v>473</v>
      </c>
      <c r="H357" s="116"/>
      <c r="I357" s="116"/>
    </row>
    <row r="358">
      <c r="A358" s="117">
        <v>46067.93069166667</v>
      </c>
      <c r="B358" s="60" t="s">
        <v>392</v>
      </c>
      <c r="C358" s="60" t="s">
        <v>89</v>
      </c>
      <c r="D358" s="60">
        <v>0.13</v>
      </c>
      <c r="E358" s="60">
        <v>45.0</v>
      </c>
      <c r="F358" s="60">
        <v>5.9</v>
      </c>
      <c r="G358" s="118" t="s">
        <v>473</v>
      </c>
      <c r="H358" s="116"/>
      <c r="I358" s="116"/>
    </row>
    <row r="359">
      <c r="A359" s="117">
        <v>46067.93069166667</v>
      </c>
      <c r="B359" s="60" t="s">
        <v>397</v>
      </c>
      <c r="C359" s="60" t="s">
        <v>233</v>
      </c>
      <c r="D359" s="60">
        <v>0.13</v>
      </c>
      <c r="E359" s="60">
        <v>16.0</v>
      </c>
      <c r="F359" s="60">
        <v>2.1</v>
      </c>
      <c r="G359" s="118" t="s">
        <v>473</v>
      </c>
      <c r="H359" s="116"/>
      <c r="I359" s="116"/>
    </row>
    <row r="360">
      <c r="A360" s="117">
        <v>46067.93069166667</v>
      </c>
      <c r="B360" s="60" t="s">
        <v>397</v>
      </c>
      <c r="C360" s="60" t="s">
        <v>429</v>
      </c>
      <c r="D360" s="60">
        <v>10.0</v>
      </c>
      <c r="E360" s="60">
        <v>1.0</v>
      </c>
      <c r="F360" s="60">
        <v>10.0</v>
      </c>
      <c r="G360" s="118" t="s">
        <v>473</v>
      </c>
      <c r="H360" s="116"/>
      <c r="I360" s="116"/>
    </row>
    <row r="361">
      <c r="A361" s="117">
        <v>46067.93069166667</v>
      </c>
      <c r="B361" s="60" t="s">
        <v>395</v>
      </c>
      <c r="C361" s="60" t="s">
        <v>474</v>
      </c>
      <c r="D361" s="60">
        <v>0.02</v>
      </c>
      <c r="E361" s="60">
        <v>50.0</v>
      </c>
      <c r="F361" s="60">
        <v>1.0</v>
      </c>
      <c r="G361" s="118" t="s">
        <v>473</v>
      </c>
      <c r="H361" s="116"/>
      <c r="I361" s="116"/>
    </row>
    <row r="362">
      <c r="A362" s="117">
        <v>46067.93069166667</v>
      </c>
      <c r="B362" s="60" t="s">
        <v>395</v>
      </c>
      <c r="C362" s="60" t="s">
        <v>420</v>
      </c>
      <c r="D362" s="60">
        <v>0.05</v>
      </c>
      <c r="E362" s="60">
        <v>46.0</v>
      </c>
      <c r="F362" s="60">
        <v>2.27</v>
      </c>
      <c r="G362" s="118" t="s">
        <v>473</v>
      </c>
      <c r="H362" s="116"/>
      <c r="I362" s="116"/>
    </row>
    <row r="363">
      <c r="A363" s="117">
        <v>46067.93069166667</v>
      </c>
      <c r="B363" s="60" t="s">
        <v>395</v>
      </c>
      <c r="C363" s="60" t="s">
        <v>475</v>
      </c>
      <c r="D363" s="60">
        <v>2.0</v>
      </c>
      <c r="E363" s="60">
        <v>2.0</v>
      </c>
      <c r="F363" s="60">
        <v>4.0</v>
      </c>
      <c r="G363" s="118" t="s">
        <v>473</v>
      </c>
      <c r="H363" s="116"/>
      <c r="I363" s="116"/>
    </row>
    <row r="364">
      <c r="A364" s="117">
        <v>46067.93069166667</v>
      </c>
      <c r="B364" s="60" t="s">
        <v>395</v>
      </c>
      <c r="C364" s="60" t="s">
        <v>476</v>
      </c>
      <c r="D364" s="60">
        <v>0.02</v>
      </c>
      <c r="E364" s="60">
        <v>90.0</v>
      </c>
      <c r="F364" s="60">
        <v>1.8</v>
      </c>
      <c r="G364" s="118" t="s">
        <v>473</v>
      </c>
      <c r="H364" s="116"/>
      <c r="I364" s="116"/>
    </row>
    <row r="365">
      <c r="A365" s="117">
        <v>46066.930693981485</v>
      </c>
      <c r="B365" s="60" t="s">
        <v>392</v>
      </c>
      <c r="C365" s="60" t="s">
        <v>170</v>
      </c>
      <c r="D365" s="60">
        <v>0.0</v>
      </c>
      <c r="E365" s="60">
        <v>2.0</v>
      </c>
      <c r="F365" s="60">
        <v>0.0</v>
      </c>
      <c r="G365" s="118" t="s">
        <v>477</v>
      </c>
      <c r="H365" s="116"/>
      <c r="I365" s="116"/>
    </row>
    <row r="366">
      <c r="A366" s="117">
        <v>46066.930693981485</v>
      </c>
      <c r="B366" s="60" t="s">
        <v>392</v>
      </c>
      <c r="C366" s="60" t="s">
        <v>212</v>
      </c>
      <c r="D366" s="60">
        <v>0.33</v>
      </c>
      <c r="E366" s="60">
        <v>12.0</v>
      </c>
      <c r="F366" s="60">
        <v>4.0</v>
      </c>
      <c r="G366" s="118" t="s">
        <v>477</v>
      </c>
      <c r="H366" s="116"/>
      <c r="I366" s="116"/>
    </row>
    <row r="367">
      <c r="A367" s="117">
        <v>46066.930693981485</v>
      </c>
      <c r="B367" s="60" t="s">
        <v>392</v>
      </c>
      <c r="C367" s="60" t="s">
        <v>429</v>
      </c>
      <c r="D367" s="60">
        <v>10.0</v>
      </c>
      <c r="E367" s="60">
        <v>1.0</v>
      </c>
      <c r="F367" s="60">
        <v>10.0</v>
      </c>
      <c r="G367" s="118" t="s">
        <v>477</v>
      </c>
      <c r="H367" s="116"/>
      <c r="I367" s="116"/>
    </row>
    <row r="368">
      <c r="A368" s="117">
        <v>46066.930693981485</v>
      </c>
      <c r="B368" s="60" t="s">
        <v>392</v>
      </c>
      <c r="C368" s="60" t="s">
        <v>424</v>
      </c>
      <c r="D368" s="60">
        <v>0.27</v>
      </c>
      <c r="E368" s="60">
        <v>12.0</v>
      </c>
      <c r="F368" s="60">
        <v>3.2</v>
      </c>
      <c r="G368" s="118" t="s">
        <v>477</v>
      </c>
      <c r="H368" s="116"/>
      <c r="I368" s="116"/>
    </row>
    <row r="369">
      <c r="A369" s="117">
        <v>46066.930693981485</v>
      </c>
      <c r="B369" s="60" t="s">
        <v>392</v>
      </c>
      <c r="C369" s="60" t="s">
        <v>273</v>
      </c>
      <c r="D369" s="60">
        <v>0.09</v>
      </c>
      <c r="E369" s="60">
        <v>45.0</v>
      </c>
      <c r="F369" s="60">
        <v>4.1</v>
      </c>
      <c r="G369" s="118" t="s">
        <v>477</v>
      </c>
      <c r="H369" s="116"/>
      <c r="I369" s="116"/>
    </row>
    <row r="370">
      <c r="A370" s="117">
        <v>46066.930693981485</v>
      </c>
      <c r="B370" s="60" t="s">
        <v>398</v>
      </c>
      <c r="C370" s="60" t="s">
        <v>111</v>
      </c>
      <c r="D370" s="60">
        <v>0.12</v>
      </c>
      <c r="E370" s="60">
        <v>38.0</v>
      </c>
      <c r="F370" s="60">
        <v>4.6</v>
      </c>
      <c r="G370" s="118" t="s">
        <v>477</v>
      </c>
      <c r="H370" s="116"/>
      <c r="I370" s="116"/>
    </row>
    <row r="371">
      <c r="A371" s="117">
        <v>46066.930693981485</v>
      </c>
      <c r="B371" s="60" t="s">
        <v>398</v>
      </c>
      <c r="C371" s="60" t="s">
        <v>89</v>
      </c>
      <c r="D371" s="60">
        <v>0.13</v>
      </c>
      <c r="E371" s="60">
        <v>54.0</v>
      </c>
      <c r="F371" s="60">
        <v>7.0</v>
      </c>
      <c r="G371" s="118" t="s">
        <v>477</v>
      </c>
      <c r="H371" s="116"/>
      <c r="I371" s="116"/>
    </row>
    <row r="372">
      <c r="A372" s="117">
        <v>46066.930693981485</v>
      </c>
      <c r="B372" s="60" t="s">
        <v>395</v>
      </c>
      <c r="C372" s="60" t="s">
        <v>478</v>
      </c>
      <c r="D372" s="60">
        <v>13.0</v>
      </c>
      <c r="E372" s="60">
        <v>1.0</v>
      </c>
      <c r="F372" s="60">
        <v>13.0</v>
      </c>
      <c r="G372" s="118" t="s">
        <v>477</v>
      </c>
      <c r="H372" s="116"/>
      <c r="I372" s="116"/>
    </row>
    <row r="373">
      <c r="A373" s="117">
        <v>46066.930693981485</v>
      </c>
      <c r="B373" s="60" t="s">
        <v>395</v>
      </c>
      <c r="C373" s="60" t="s">
        <v>439</v>
      </c>
      <c r="D373" s="60">
        <v>0.31</v>
      </c>
      <c r="E373" s="60">
        <v>70.0</v>
      </c>
      <c r="F373" s="60">
        <v>21.7</v>
      </c>
      <c r="G373" s="118" t="s">
        <v>477</v>
      </c>
      <c r="H373" s="116"/>
      <c r="I373" s="116"/>
    </row>
    <row r="374">
      <c r="A374" s="117">
        <v>46066.930693981485</v>
      </c>
      <c r="B374" s="60" t="s">
        <v>395</v>
      </c>
      <c r="C374" s="60" t="s">
        <v>479</v>
      </c>
      <c r="D374" s="60">
        <v>1.0</v>
      </c>
      <c r="E374" s="60">
        <v>1.0</v>
      </c>
      <c r="F374" s="60">
        <v>1.0</v>
      </c>
      <c r="G374" s="118" t="s">
        <v>477</v>
      </c>
      <c r="H374" s="116"/>
      <c r="I374" s="116"/>
    </row>
    <row r="375">
      <c r="A375" s="117">
        <v>46066.930693981485</v>
      </c>
      <c r="B375" s="60" t="s">
        <v>395</v>
      </c>
      <c r="C375" s="60" t="s">
        <v>328</v>
      </c>
      <c r="D375" s="60">
        <v>0.07</v>
      </c>
      <c r="E375" s="60">
        <v>1.5</v>
      </c>
      <c r="F375" s="60">
        <v>0.1</v>
      </c>
      <c r="G375" s="118" t="s">
        <v>477</v>
      </c>
      <c r="H375" s="116"/>
      <c r="I375" s="116"/>
    </row>
    <row r="376">
      <c r="A376" s="117">
        <v>46065.93072712963</v>
      </c>
      <c r="B376" s="60" t="s">
        <v>392</v>
      </c>
      <c r="C376" s="60" t="s">
        <v>170</v>
      </c>
      <c r="D376" s="60">
        <v>0.0</v>
      </c>
      <c r="E376" s="60">
        <v>2.0</v>
      </c>
      <c r="F376" s="60">
        <v>0.0</v>
      </c>
      <c r="G376" s="118" t="s">
        <v>480</v>
      </c>
      <c r="H376" s="116"/>
      <c r="I376" s="116"/>
    </row>
    <row r="377">
      <c r="A377" s="117">
        <v>46065.93072712963</v>
      </c>
      <c r="B377" s="60" t="s">
        <v>392</v>
      </c>
      <c r="C377" s="60" t="s">
        <v>212</v>
      </c>
      <c r="D377" s="60">
        <v>0.33</v>
      </c>
      <c r="E377" s="60">
        <v>12.0</v>
      </c>
      <c r="F377" s="60">
        <v>4.0</v>
      </c>
      <c r="G377" s="118" t="s">
        <v>480</v>
      </c>
      <c r="H377" s="116"/>
      <c r="I377" s="116"/>
    </row>
    <row r="378">
      <c r="A378" s="117">
        <v>46065.93072712963</v>
      </c>
      <c r="B378" s="60" t="s">
        <v>392</v>
      </c>
      <c r="C378" s="60" t="s">
        <v>429</v>
      </c>
      <c r="D378" s="60">
        <v>10.0</v>
      </c>
      <c r="E378" s="60">
        <v>1.0</v>
      </c>
      <c r="F378" s="60">
        <v>10.0</v>
      </c>
      <c r="G378" s="118" t="s">
        <v>480</v>
      </c>
      <c r="H378" s="116"/>
      <c r="I378" s="116"/>
    </row>
    <row r="379">
      <c r="A379" s="117">
        <v>46065.93072712963</v>
      </c>
      <c r="B379" s="60" t="s">
        <v>392</v>
      </c>
      <c r="C379" s="60" t="s">
        <v>424</v>
      </c>
      <c r="D379" s="60">
        <v>0.27</v>
      </c>
      <c r="E379" s="60">
        <v>10.0</v>
      </c>
      <c r="F379" s="60">
        <v>2.7</v>
      </c>
      <c r="G379" s="118" t="s">
        <v>480</v>
      </c>
      <c r="H379" s="116"/>
      <c r="I379" s="116"/>
    </row>
    <row r="380">
      <c r="A380" s="117">
        <v>46065.93072712963</v>
      </c>
      <c r="B380" s="60" t="s">
        <v>392</v>
      </c>
      <c r="C380" s="60" t="s">
        <v>111</v>
      </c>
      <c r="D380" s="60">
        <v>0.12</v>
      </c>
      <c r="E380" s="60">
        <v>55.0</v>
      </c>
      <c r="F380" s="60">
        <v>6.6</v>
      </c>
      <c r="G380" s="118" t="s">
        <v>480</v>
      </c>
      <c r="H380" s="116"/>
      <c r="I380" s="116"/>
    </row>
    <row r="381">
      <c r="A381" s="117">
        <v>46065.93072712963</v>
      </c>
      <c r="B381" s="60" t="s">
        <v>394</v>
      </c>
      <c r="C381" s="60" t="s">
        <v>444</v>
      </c>
      <c r="D381" s="60">
        <v>0.07</v>
      </c>
      <c r="E381" s="60">
        <v>14.0</v>
      </c>
      <c r="F381" s="60">
        <v>1.0</v>
      </c>
      <c r="G381" s="118" t="s">
        <v>480</v>
      </c>
      <c r="H381" s="116"/>
      <c r="I381" s="116"/>
    </row>
    <row r="382">
      <c r="A382" s="117">
        <v>46065.93072712963</v>
      </c>
      <c r="B382" s="60" t="s">
        <v>395</v>
      </c>
      <c r="C382" s="60" t="s">
        <v>417</v>
      </c>
      <c r="D382" s="60">
        <v>0.1</v>
      </c>
      <c r="E382" s="60">
        <v>110.0</v>
      </c>
      <c r="F382" s="60">
        <v>10.92</v>
      </c>
      <c r="G382" s="118" t="s">
        <v>480</v>
      </c>
      <c r="H382" s="116"/>
      <c r="I382" s="116"/>
    </row>
    <row r="383">
      <c r="A383" s="117">
        <v>46064.93100521991</v>
      </c>
      <c r="B383" s="60" t="s">
        <v>392</v>
      </c>
      <c r="C383" s="60" t="s">
        <v>429</v>
      </c>
      <c r="D383" s="60">
        <v>10.0</v>
      </c>
      <c r="E383" s="60">
        <v>1.5</v>
      </c>
      <c r="F383" s="60">
        <v>15.0</v>
      </c>
      <c r="G383" s="118" t="s">
        <v>481</v>
      </c>
      <c r="H383" s="116"/>
      <c r="I383" s="116"/>
    </row>
    <row r="384">
      <c r="A384" s="117">
        <v>46064.93100521991</v>
      </c>
      <c r="B384" s="60" t="s">
        <v>392</v>
      </c>
      <c r="C384" s="60" t="s">
        <v>233</v>
      </c>
      <c r="D384" s="60">
        <v>0.13</v>
      </c>
      <c r="E384" s="60">
        <v>18.0</v>
      </c>
      <c r="F384" s="60">
        <v>2.3</v>
      </c>
      <c r="G384" s="118" t="s">
        <v>481</v>
      </c>
      <c r="H384" s="116"/>
      <c r="I384" s="116"/>
    </row>
    <row r="385">
      <c r="A385" s="117">
        <v>46064.93100521991</v>
      </c>
      <c r="B385" s="60" t="s">
        <v>392</v>
      </c>
      <c r="C385" s="60" t="s">
        <v>89</v>
      </c>
      <c r="D385" s="60">
        <v>0.13</v>
      </c>
      <c r="E385" s="60">
        <v>50.0</v>
      </c>
      <c r="F385" s="60">
        <v>6.5</v>
      </c>
      <c r="G385" s="118" t="s">
        <v>481</v>
      </c>
      <c r="H385" s="116"/>
      <c r="I385" s="116"/>
    </row>
    <row r="386">
      <c r="A386" s="117">
        <v>46064.93100521991</v>
      </c>
      <c r="B386" s="60" t="s">
        <v>392</v>
      </c>
      <c r="C386" s="60" t="s">
        <v>294</v>
      </c>
      <c r="D386" s="60">
        <v>0.05</v>
      </c>
      <c r="E386" s="60">
        <v>49.0</v>
      </c>
      <c r="F386" s="60">
        <v>2.5</v>
      </c>
      <c r="G386" s="118" t="s">
        <v>481</v>
      </c>
      <c r="H386" s="116"/>
      <c r="I386" s="116"/>
    </row>
    <row r="387">
      <c r="A387" s="117">
        <v>46064.93100521991</v>
      </c>
      <c r="B387" s="60" t="s">
        <v>397</v>
      </c>
      <c r="C387" s="60" t="s">
        <v>273</v>
      </c>
      <c r="D387" s="60">
        <v>0.09</v>
      </c>
      <c r="E387" s="60">
        <v>54.0</v>
      </c>
      <c r="F387" s="60">
        <v>4.9</v>
      </c>
      <c r="G387" s="118" t="s">
        <v>481</v>
      </c>
      <c r="H387" s="116"/>
      <c r="I387" s="116"/>
    </row>
    <row r="388">
      <c r="A388" s="117">
        <v>46064.93100521991</v>
      </c>
      <c r="B388" s="60" t="s">
        <v>397</v>
      </c>
      <c r="C388" s="60" t="s">
        <v>111</v>
      </c>
      <c r="D388" s="60">
        <v>0.12</v>
      </c>
      <c r="E388" s="60">
        <v>46.0</v>
      </c>
      <c r="F388" s="60">
        <v>5.5</v>
      </c>
      <c r="G388" s="118" t="s">
        <v>481</v>
      </c>
      <c r="H388" s="116"/>
      <c r="I388" s="116"/>
    </row>
    <row r="389">
      <c r="A389" s="117">
        <v>46064.93100521991</v>
      </c>
      <c r="B389" s="60" t="s">
        <v>395</v>
      </c>
      <c r="C389" s="60" t="s">
        <v>482</v>
      </c>
      <c r="D389" s="60">
        <v>4.78</v>
      </c>
      <c r="E389" s="60">
        <v>3.0</v>
      </c>
      <c r="F389" s="60">
        <v>14.3</v>
      </c>
      <c r="G389" s="118" t="s">
        <v>481</v>
      </c>
      <c r="H389" s="116"/>
      <c r="I389" s="116"/>
    </row>
    <row r="390">
      <c r="A390" s="117">
        <v>46064.93100521991</v>
      </c>
      <c r="B390" s="60" t="s">
        <v>395</v>
      </c>
      <c r="C390" s="60" t="s">
        <v>444</v>
      </c>
      <c r="D390" s="60">
        <v>0.07</v>
      </c>
      <c r="E390" s="60">
        <v>28.0</v>
      </c>
      <c r="F390" s="60">
        <v>2.0</v>
      </c>
      <c r="G390" s="118" t="s">
        <v>481</v>
      </c>
      <c r="H390" s="116"/>
      <c r="I390" s="116"/>
    </row>
    <row r="391">
      <c r="A391" s="117">
        <v>46064.93100521991</v>
      </c>
      <c r="B391" s="60" t="s">
        <v>395</v>
      </c>
      <c r="C391" s="60" t="s">
        <v>115</v>
      </c>
      <c r="D391" s="60">
        <v>0.03</v>
      </c>
      <c r="E391" s="60">
        <v>68.0</v>
      </c>
      <c r="F391" s="60">
        <v>2.0</v>
      </c>
      <c r="G391" s="118" t="s">
        <v>481</v>
      </c>
      <c r="H391" s="116"/>
      <c r="I391" s="116"/>
    </row>
    <row r="392">
      <c r="A392" s="117">
        <v>46064.93100521991</v>
      </c>
      <c r="B392" s="60" t="s">
        <v>395</v>
      </c>
      <c r="C392" s="60" t="s">
        <v>129</v>
      </c>
      <c r="D392" s="60">
        <v>0.26</v>
      </c>
      <c r="E392" s="60">
        <v>14.0</v>
      </c>
      <c r="F392" s="60">
        <v>3.6</v>
      </c>
      <c r="G392" s="118" t="s">
        <v>481</v>
      </c>
      <c r="H392" s="116"/>
      <c r="I392" s="116"/>
    </row>
    <row r="393">
      <c r="A393" s="117">
        <v>46064.93100521991</v>
      </c>
      <c r="B393" s="60" t="s">
        <v>395</v>
      </c>
      <c r="C393" s="60" t="s">
        <v>426</v>
      </c>
      <c r="D393" s="60">
        <v>1.0</v>
      </c>
      <c r="E393" s="60">
        <v>1.3</v>
      </c>
      <c r="F393" s="60">
        <v>1.3</v>
      </c>
      <c r="G393" s="118" t="s">
        <v>481</v>
      </c>
      <c r="H393" s="116"/>
      <c r="I393" s="116"/>
    </row>
    <row r="394">
      <c r="A394" s="117">
        <v>46064.93100521991</v>
      </c>
      <c r="B394" s="60" t="s">
        <v>395</v>
      </c>
      <c r="C394" s="60" t="s">
        <v>483</v>
      </c>
      <c r="D394" s="60">
        <v>0.16</v>
      </c>
      <c r="E394" s="60">
        <v>20.0</v>
      </c>
      <c r="F394" s="60">
        <v>3.2</v>
      </c>
      <c r="G394" s="118" t="s">
        <v>481</v>
      </c>
      <c r="H394" s="116"/>
      <c r="I394" s="116"/>
    </row>
    <row r="395">
      <c r="A395" s="117">
        <v>46063.930783460644</v>
      </c>
      <c r="B395" s="60" t="s">
        <v>392</v>
      </c>
      <c r="C395" s="60" t="s">
        <v>170</v>
      </c>
      <c r="D395" s="60">
        <v>0.0</v>
      </c>
      <c r="E395" s="60">
        <v>2.0</v>
      </c>
      <c r="F395" s="60">
        <v>0.0</v>
      </c>
      <c r="G395" s="118" t="s">
        <v>484</v>
      </c>
      <c r="H395" s="116"/>
      <c r="I395" s="116"/>
    </row>
    <row r="396">
      <c r="A396" s="117">
        <v>46063.930783460644</v>
      </c>
      <c r="B396" s="60" t="s">
        <v>392</v>
      </c>
      <c r="C396" s="60" t="s">
        <v>212</v>
      </c>
      <c r="D396" s="60">
        <v>0.33</v>
      </c>
      <c r="E396" s="60">
        <v>12.0</v>
      </c>
      <c r="F396" s="60">
        <v>4.0</v>
      </c>
      <c r="G396" s="118" t="s">
        <v>484</v>
      </c>
      <c r="H396" s="116"/>
      <c r="I396" s="116"/>
    </row>
    <row r="397">
      <c r="A397" s="117">
        <v>46063.930783460644</v>
      </c>
      <c r="B397" s="60" t="s">
        <v>392</v>
      </c>
      <c r="C397" s="60" t="s">
        <v>429</v>
      </c>
      <c r="D397" s="60">
        <v>10.0</v>
      </c>
      <c r="E397" s="60">
        <v>1.0</v>
      </c>
      <c r="F397" s="60">
        <v>10.0</v>
      </c>
      <c r="G397" s="118" t="s">
        <v>484</v>
      </c>
      <c r="H397" s="116"/>
      <c r="I397" s="116"/>
    </row>
    <row r="398">
      <c r="A398" s="117">
        <v>46063.930783460644</v>
      </c>
      <c r="B398" s="60" t="s">
        <v>392</v>
      </c>
      <c r="C398" s="60" t="s">
        <v>98</v>
      </c>
      <c r="D398" s="60">
        <v>0.18</v>
      </c>
      <c r="E398" s="60">
        <v>40.0</v>
      </c>
      <c r="F398" s="60">
        <v>7.2</v>
      </c>
      <c r="G398" s="118" t="s">
        <v>484</v>
      </c>
      <c r="H398" s="116"/>
      <c r="I398" s="116"/>
    </row>
    <row r="399">
      <c r="A399" s="117">
        <v>46063.930783460644</v>
      </c>
      <c r="B399" s="60" t="s">
        <v>392</v>
      </c>
      <c r="C399" s="60" t="s">
        <v>424</v>
      </c>
      <c r="D399" s="60">
        <v>0.27</v>
      </c>
      <c r="E399" s="60">
        <v>10.0</v>
      </c>
      <c r="F399" s="60">
        <v>2.7</v>
      </c>
      <c r="G399" s="118" t="s">
        <v>484</v>
      </c>
      <c r="H399" s="116"/>
      <c r="I399" s="116"/>
    </row>
    <row r="400">
      <c r="A400" s="117">
        <v>46063.930783460644</v>
      </c>
      <c r="B400" s="60" t="s">
        <v>398</v>
      </c>
      <c r="C400" s="60" t="s">
        <v>325</v>
      </c>
      <c r="D400" s="60">
        <v>0.05</v>
      </c>
      <c r="E400" s="60">
        <v>30.0</v>
      </c>
      <c r="F400" s="60">
        <v>1.5</v>
      </c>
      <c r="G400" s="118" t="s">
        <v>484</v>
      </c>
      <c r="H400" s="116"/>
      <c r="I400" s="116"/>
    </row>
    <row r="401">
      <c r="A401" s="117">
        <v>46063.930783460644</v>
      </c>
      <c r="B401" s="60" t="s">
        <v>398</v>
      </c>
      <c r="C401" s="60" t="s">
        <v>104</v>
      </c>
      <c r="D401" s="60">
        <v>0.05</v>
      </c>
      <c r="E401" s="60">
        <v>27.0</v>
      </c>
      <c r="F401" s="60">
        <v>1.4</v>
      </c>
      <c r="G401" s="118" t="s">
        <v>484</v>
      </c>
      <c r="H401" s="116"/>
      <c r="I401" s="116"/>
    </row>
    <row r="402">
      <c r="A402" s="117">
        <v>46063.930783460644</v>
      </c>
      <c r="B402" s="60" t="s">
        <v>398</v>
      </c>
      <c r="C402" s="60" t="s">
        <v>87</v>
      </c>
      <c r="D402" s="60">
        <v>0.27</v>
      </c>
      <c r="E402" s="60">
        <v>90.0</v>
      </c>
      <c r="F402" s="60">
        <v>24.3</v>
      </c>
      <c r="G402" s="118" t="s">
        <v>484</v>
      </c>
      <c r="H402" s="116"/>
      <c r="I402" s="116"/>
    </row>
    <row r="403">
      <c r="A403" s="117">
        <v>46063.930783460644</v>
      </c>
      <c r="B403" s="60" t="s">
        <v>398</v>
      </c>
      <c r="C403" s="60" t="s">
        <v>205</v>
      </c>
      <c r="D403" s="60">
        <v>0.08</v>
      </c>
      <c r="E403" s="60">
        <v>40.0</v>
      </c>
      <c r="F403" s="60">
        <v>3.2</v>
      </c>
      <c r="G403" s="118" t="s">
        <v>484</v>
      </c>
      <c r="H403" s="116"/>
      <c r="I403" s="116"/>
    </row>
    <row r="404">
      <c r="A404" s="117">
        <v>46063.930783460644</v>
      </c>
      <c r="B404" s="60" t="s">
        <v>395</v>
      </c>
      <c r="C404" s="60" t="s">
        <v>87</v>
      </c>
      <c r="D404" s="60">
        <v>0.27</v>
      </c>
      <c r="E404" s="60">
        <v>82.0</v>
      </c>
      <c r="F404" s="60">
        <v>22.1</v>
      </c>
      <c r="G404" s="118" t="s">
        <v>484</v>
      </c>
      <c r="H404" s="116"/>
      <c r="I404" s="116"/>
    </row>
    <row r="405">
      <c r="A405" s="117">
        <v>46063.930783460644</v>
      </c>
      <c r="B405" s="60" t="s">
        <v>395</v>
      </c>
      <c r="C405" s="60" t="s">
        <v>328</v>
      </c>
      <c r="D405" s="60">
        <v>0.07</v>
      </c>
      <c r="E405" s="60">
        <v>21.0</v>
      </c>
      <c r="F405" s="60">
        <v>1.5</v>
      </c>
      <c r="G405" s="118" t="s">
        <v>484</v>
      </c>
      <c r="H405" s="116"/>
      <c r="I405" s="116"/>
    </row>
    <row r="406">
      <c r="A406" s="117">
        <v>46063.930783460644</v>
      </c>
      <c r="B406" s="60" t="s">
        <v>395</v>
      </c>
      <c r="C406" s="60" t="s">
        <v>485</v>
      </c>
      <c r="D406" s="60">
        <v>7.0</v>
      </c>
      <c r="E406" s="60">
        <v>1.0</v>
      </c>
      <c r="F406" s="60">
        <v>7.0</v>
      </c>
      <c r="G406" s="118" t="s">
        <v>484</v>
      </c>
      <c r="H406" s="116"/>
      <c r="I406" s="116"/>
    </row>
    <row r="407">
      <c r="A407" s="117">
        <v>46063.930783460644</v>
      </c>
      <c r="B407" s="60" t="s">
        <v>395</v>
      </c>
      <c r="C407" s="60" t="s">
        <v>479</v>
      </c>
      <c r="D407" s="60">
        <v>1.0</v>
      </c>
      <c r="E407" s="60">
        <v>1.0</v>
      </c>
      <c r="F407" s="60">
        <v>1.0</v>
      </c>
      <c r="G407" s="118" t="s">
        <v>484</v>
      </c>
      <c r="H407" s="116"/>
      <c r="I407" s="116"/>
    </row>
    <row r="408">
      <c r="A408" s="117">
        <v>46063.930783460644</v>
      </c>
      <c r="B408" s="60" t="s">
        <v>395</v>
      </c>
      <c r="C408" s="60" t="s">
        <v>326</v>
      </c>
      <c r="D408" s="60">
        <v>0.1</v>
      </c>
      <c r="E408" s="60">
        <v>12.0</v>
      </c>
      <c r="F408" s="60">
        <v>1.2</v>
      </c>
      <c r="G408" s="118" t="s">
        <v>484</v>
      </c>
      <c r="H408" s="116"/>
      <c r="I408" s="116"/>
    </row>
    <row r="409">
      <c r="A409" s="117">
        <v>46062.93079412037</v>
      </c>
      <c r="B409" s="60" t="s">
        <v>392</v>
      </c>
      <c r="C409" s="60" t="s">
        <v>273</v>
      </c>
      <c r="D409" s="60">
        <v>0.09</v>
      </c>
      <c r="E409" s="60">
        <v>30.0</v>
      </c>
      <c r="F409" s="60">
        <v>2.7</v>
      </c>
      <c r="G409" s="118" t="s">
        <v>486</v>
      </c>
      <c r="H409" s="116"/>
      <c r="I409" s="116"/>
    </row>
    <row r="410">
      <c r="A410" s="117">
        <v>46062.93079412037</v>
      </c>
      <c r="B410" s="60" t="s">
        <v>392</v>
      </c>
      <c r="C410" s="60" t="s">
        <v>294</v>
      </c>
      <c r="D410" s="60">
        <v>0.05</v>
      </c>
      <c r="E410" s="60">
        <v>40.0</v>
      </c>
      <c r="F410" s="60">
        <v>2.0</v>
      </c>
      <c r="G410" s="118" t="s">
        <v>486</v>
      </c>
      <c r="H410" s="116"/>
      <c r="I410" s="116"/>
    </row>
    <row r="411">
      <c r="A411" s="117">
        <v>46062.93079412037</v>
      </c>
      <c r="B411" s="60" t="s">
        <v>392</v>
      </c>
      <c r="C411" s="60" t="s">
        <v>111</v>
      </c>
      <c r="D411" s="60">
        <v>0.12</v>
      </c>
      <c r="E411" s="60">
        <v>33.0</v>
      </c>
      <c r="F411" s="60">
        <v>4.0</v>
      </c>
      <c r="G411" s="118" t="s">
        <v>486</v>
      </c>
      <c r="H411" s="116"/>
      <c r="I411" s="116"/>
    </row>
    <row r="412">
      <c r="A412" s="117">
        <v>46062.93079412037</v>
      </c>
      <c r="B412" s="60" t="s">
        <v>392</v>
      </c>
      <c r="C412" s="60" t="s">
        <v>212</v>
      </c>
      <c r="D412" s="60">
        <v>0.33</v>
      </c>
      <c r="E412" s="60">
        <v>12.0</v>
      </c>
      <c r="F412" s="60">
        <v>4.0</v>
      </c>
      <c r="G412" s="118" t="s">
        <v>486</v>
      </c>
      <c r="H412" s="116"/>
      <c r="I412" s="116"/>
    </row>
    <row r="413">
      <c r="A413" s="117">
        <v>46062.93079412037</v>
      </c>
      <c r="B413" s="60" t="s">
        <v>392</v>
      </c>
      <c r="C413" s="60" t="s">
        <v>429</v>
      </c>
      <c r="D413" s="60">
        <v>10.0</v>
      </c>
      <c r="E413" s="60">
        <v>1.0</v>
      </c>
      <c r="F413" s="60">
        <v>10.0</v>
      </c>
      <c r="G413" s="118" t="s">
        <v>486</v>
      </c>
      <c r="H413" s="116"/>
      <c r="I413" s="116"/>
    </row>
    <row r="414">
      <c r="A414" s="117">
        <v>46062.93079412037</v>
      </c>
      <c r="B414" s="60" t="s">
        <v>392</v>
      </c>
      <c r="C414" s="60" t="s">
        <v>170</v>
      </c>
      <c r="D414" s="60">
        <v>0.0</v>
      </c>
      <c r="E414" s="60">
        <v>2.5</v>
      </c>
      <c r="F414" s="60">
        <v>0.0</v>
      </c>
      <c r="G414" s="118" t="s">
        <v>486</v>
      </c>
      <c r="H414" s="116"/>
      <c r="I414" s="116"/>
    </row>
    <row r="415">
      <c r="A415" s="117">
        <v>46062.93079412037</v>
      </c>
      <c r="B415" s="60" t="s">
        <v>394</v>
      </c>
      <c r="C415" s="60" t="s">
        <v>426</v>
      </c>
      <c r="D415" s="60">
        <v>1.0</v>
      </c>
      <c r="E415" s="60">
        <v>7.8</v>
      </c>
      <c r="F415" s="60">
        <v>7.8</v>
      </c>
      <c r="G415" s="118" t="s">
        <v>486</v>
      </c>
      <c r="H415" s="116"/>
      <c r="I415" s="116"/>
    </row>
    <row r="416">
      <c r="A416" s="117">
        <v>46062.93079412037</v>
      </c>
      <c r="B416" s="60" t="s">
        <v>394</v>
      </c>
      <c r="C416" s="60" t="s">
        <v>426</v>
      </c>
      <c r="D416" s="60">
        <v>1.0</v>
      </c>
      <c r="E416" s="60">
        <v>4.7</v>
      </c>
      <c r="F416" s="60">
        <v>4.7</v>
      </c>
      <c r="G416" s="118" t="s">
        <v>486</v>
      </c>
      <c r="H416" s="116"/>
      <c r="I416" s="116"/>
    </row>
    <row r="417">
      <c r="A417" s="117">
        <v>46062.93079412037</v>
      </c>
      <c r="B417" s="60" t="s">
        <v>397</v>
      </c>
      <c r="C417" s="60" t="s">
        <v>429</v>
      </c>
      <c r="D417" s="60">
        <v>10.0</v>
      </c>
      <c r="E417" s="60">
        <v>1.0</v>
      </c>
      <c r="F417" s="60">
        <v>10.0</v>
      </c>
      <c r="G417" s="118" t="s">
        <v>486</v>
      </c>
      <c r="H417" s="116"/>
      <c r="I417" s="116"/>
    </row>
    <row r="418">
      <c r="A418" s="117">
        <v>46062.93079412037</v>
      </c>
      <c r="B418" s="60" t="s">
        <v>397</v>
      </c>
      <c r="C418" s="60" t="s">
        <v>233</v>
      </c>
      <c r="D418" s="60">
        <v>0.13</v>
      </c>
      <c r="E418" s="60">
        <v>17.0</v>
      </c>
      <c r="F418" s="60">
        <v>2.2</v>
      </c>
      <c r="G418" s="118" t="s">
        <v>486</v>
      </c>
      <c r="H418" s="116"/>
      <c r="I418" s="116"/>
    </row>
    <row r="419">
      <c r="A419" s="117">
        <v>46062.93079412037</v>
      </c>
      <c r="B419" s="60" t="s">
        <v>397</v>
      </c>
      <c r="C419" s="60" t="s">
        <v>444</v>
      </c>
      <c r="D419" s="60">
        <v>0.07</v>
      </c>
      <c r="E419" s="60">
        <v>18.0</v>
      </c>
      <c r="F419" s="60">
        <v>1.3</v>
      </c>
      <c r="G419" s="118" t="s">
        <v>486</v>
      </c>
      <c r="H419" s="116"/>
      <c r="I419" s="116"/>
    </row>
    <row r="420">
      <c r="A420" s="117">
        <v>46062.93079412037</v>
      </c>
      <c r="B420" s="60" t="s">
        <v>397</v>
      </c>
      <c r="C420" s="60" t="s">
        <v>152</v>
      </c>
      <c r="D420" s="60">
        <v>0.0</v>
      </c>
      <c r="E420" s="60">
        <v>10.0</v>
      </c>
      <c r="F420" s="60">
        <v>0.0</v>
      </c>
      <c r="G420" s="118" t="s">
        <v>486</v>
      </c>
      <c r="H420" s="116"/>
      <c r="I420" s="116"/>
    </row>
    <row r="421">
      <c r="A421" s="117">
        <v>46062.93079412037</v>
      </c>
      <c r="B421" s="60" t="s">
        <v>397</v>
      </c>
      <c r="C421" s="60" t="s">
        <v>125</v>
      </c>
      <c r="D421" s="60">
        <v>0.08</v>
      </c>
      <c r="E421" s="60">
        <v>44.0</v>
      </c>
      <c r="F421" s="60">
        <v>3.5</v>
      </c>
      <c r="G421" s="118" t="s">
        <v>486</v>
      </c>
      <c r="H421" s="116"/>
      <c r="I421" s="116"/>
    </row>
    <row r="422">
      <c r="A422" s="117">
        <v>46062.93079412037</v>
      </c>
      <c r="B422" s="60" t="s">
        <v>397</v>
      </c>
      <c r="C422" s="60" t="s">
        <v>426</v>
      </c>
      <c r="D422" s="60">
        <v>1.0</v>
      </c>
      <c r="E422" s="60">
        <v>1.0</v>
      </c>
      <c r="F422" s="60">
        <v>1.0</v>
      </c>
      <c r="G422" s="118" t="s">
        <v>486</v>
      </c>
      <c r="H422" s="116"/>
      <c r="I422" s="116"/>
    </row>
    <row r="423">
      <c r="A423" s="117">
        <v>46062.93079412037</v>
      </c>
      <c r="B423" s="60" t="s">
        <v>398</v>
      </c>
      <c r="C423" s="60" t="s">
        <v>111</v>
      </c>
      <c r="D423" s="60">
        <v>0.12</v>
      </c>
      <c r="E423" s="60">
        <v>55.0</v>
      </c>
      <c r="F423" s="60">
        <v>6.6</v>
      </c>
      <c r="G423" s="118" t="s">
        <v>486</v>
      </c>
      <c r="H423" s="116"/>
      <c r="I423" s="116"/>
    </row>
    <row r="424">
      <c r="A424" s="117">
        <v>46062.93079412037</v>
      </c>
      <c r="B424" s="60" t="s">
        <v>398</v>
      </c>
      <c r="C424" s="60" t="s">
        <v>125</v>
      </c>
      <c r="D424" s="60">
        <v>0.08</v>
      </c>
      <c r="E424" s="60">
        <v>43.0</v>
      </c>
      <c r="F424" s="60">
        <v>3.4</v>
      </c>
      <c r="G424" s="118" t="s">
        <v>486</v>
      </c>
      <c r="H424" s="116"/>
      <c r="I424" s="116"/>
    </row>
    <row r="425">
      <c r="A425" s="117">
        <v>46062.93079412037</v>
      </c>
      <c r="B425" s="60" t="s">
        <v>398</v>
      </c>
      <c r="C425" s="60" t="s">
        <v>444</v>
      </c>
      <c r="D425" s="60">
        <v>0.07</v>
      </c>
      <c r="E425" s="60">
        <v>40.0</v>
      </c>
      <c r="F425" s="60">
        <v>2.8</v>
      </c>
      <c r="G425" s="118" t="s">
        <v>486</v>
      </c>
      <c r="H425" s="116"/>
      <c r="I425" s="116"/>
    </row>
    <row r="426">
      <c r="A426" s="117">
        <v>46062.93079412037</v>
      </c>
      <c r="B426" s="60" t="s">
        <v>395</v>
      </c>
      <c r="C426" s="60" t="s">
        <v>458</v>
      </c>
      <c r="D426" s="60">
        <v>0.13</v>
      </c>
      <c r="E426" s="60">
        <v>70.0</v>
      </c>
      <c r="F426" s="60">
        <v>9.1</v>
      </c>
      <c r="G426" s="118" t="s">
        <v>486</v>
      </c>
      <c r="H426" s="116"/>
      <c r="I426" s="116"/>
    </row>
    <row r="427">
      <c r="A427" s="117">
        <v>46062.93079412037</v>
      </c>
      <c r="B427" s="60" t="s">
        <v>395</v>
      </c>
      <c r="C427" s="60" t="s">
        <v>205</v>
      </c>
      <c r="D427" s="60">
        <v>0.08</v>
      </c>
      <c r="E427" s="60">
        <v>40.0</v>
      </c>
      <c r="F427" s="60">
        <v>3.2</v>
      </c>
      <c r="G427" s="118" t="s">
        <v>486</v>
      </c>
      <c r="H427" s="116"/>
      <c r="I427" s="116"/>
    </row>
    <row r="428">
      <c r="A428" s="117">
        <v>46062.93079412037</v>
      </c>
      <c r="B428" s="60" t="s">
        <v>395</v>
      </c>
      <c r="C428" s="60" t="s">
        <v>487</v>
      </c>
      <c r="D428" s="60">
        <v>0.07</v>
      </c>
      <c r="E428" s="60">
        <v>57.0</v>
      </c>
      <c r="F428" s="60">
        <v>4.0</v>
      </c>
      <c r="G428" s="118" t="s">
        <v>486</v>
      </c>
      <c r="H428" s="116"/>
      <c r="I428" s="116"/>
    </row>
    <row r="429">
      <c r="A429" s="117">
        <v>46062.93079412037</v>
      </c>
      <c r="B429" s="60" t="s">
        <v>395</v>
      </c>
      <c r="C429" s="60" t="s">
        <v>322</v>
      </c>
      <c r="D429" s="60">
        <v>0.05</v>
      </c>
      <c r="E429" s="60">
        <v>35.0</v>
      </c>
      <c r="F429" s="60">
        <v>1.8</v>
      </c>
      <c r="G429" s="118" t="s">
        <v>486</v>
      </c>
      <c r="H429" s="116"/>
      <c r="I429" s="116"/>
    </row>
    <row r="430">
      <c r="A430" s="117">
        <v>46061.93104246528</v>
      </c>
      <c r="B430" s="60" t="s">
        <v>392</v>
      </c>
      <c r="C430" s="60" t="s">
        <v>429</v>
      </c>
      <c r="D430" s="60">
        <v>10.0</v>
      </c>
      <c r="E430" s="60">
        <v>1.5</v>
      </c>
      <c r="F430" s="60">
        <v>15.0</v>
      </c>
      <c r="G430" s="118" t="s">
        <v>488</v>
      </c>
      <c r="H430" s="116"/>
      <c r="I430" s="116"/>
    </row>
    <row r="431">
      <c r="A431" s="117">
        <v>46061.93104246528</v>
      </c>
      <c r="B431" s="60" t="s">
        <v>392</v>
      </c>
      <c r="C431" s="60" t="s">
        <v>325</v>
      </c>
      <c r="D431" s="60">
        <v>0.05</v>
      </c>
      <c r="E431" s="60">
        <v>60.0</v>
      </c>
      <c r="F431" s="60">
        <v>3.0</v>
      </c>
      <c r="G431" s="118" t="s">
        <v>488</v>
      </c>
      <c r="H431" s="116"/>
      <c r="I431" s="116"/>
    </row>
    <row r="432">
      <c r="A432" s="117">
        <v>46061.93104246528</v>
      </c>
      <c r="B432" s="60" t="s">
        <v>392</v>
      </c>
      <c r="C432" s="60" t="s">
        <v>98</v>
      </c>
      <c r="D432" s="60">
        <v>0.18</v>
      </c>
      <c r="E432" s="60">
        <v>50.0</v>
      </c>
      <c r="F432" s="60">
        <v>9.0</v>
      </c>
      <c r="G432" s="118" t="s">
        <v>488</v>
      </c>
      <c r="H432" s="116"/>
      <c r="I432" s="116"/>
    </row>
    <row r="433">
      <c r="A433" s="117">
        <v>46061.93104246528</v>
      </c>
      <c r="B433" s="60" t="s">
        <v>392</v>
      </c>
      <c r="C433" s="60" t="s">
        <v>233</v>
      </c>
      <c r="D433" s="60">
        <v>0.13</v>
      </c>
      <c r="E433" s="60">
        <v>18.0</v>
      </c>
      <c r="F433" s="60">
        <v>2.3</v>
      </c>
      <c r="G433" s="118" t="s">
        <v>488</v>
      </c>
      <c r="H433" s="116"/>
      <c r="I433" s="116"/>
    </row>
    <row r="434">
      <c r="A434" s="117">
        <v>46061.93104246528</v>
      </c>
      <c r="B434" s="60" t="s">
        <v>394</v>
      </c>
      <c r="C434" s="60" t="s">
        <v>325</v>
      </c>
      <c r="D434" s="60">
        <v>0.05</v>
      </c>
      <c r="E434" s="60">
        <v>50.0</v>
      </c>
      <c r="F434" s="60">
        <v>2.5</v>
      </c>
      <c r="G434" s="118" t="s">
        <v>488</v>
      </c>
      <c r="H434" s="116"/>
      <c r="I434" s="116"/>
    </row>
    <row r="435">
      <c r="A435" s="117">
        <v>46061.93104246528</v>
      </c>
      <c r="B435" s="60" t="s">
        <v>395</v>
      </c>
      <c r="C435" s="60" t="s">
        <v>489</v>
      </c>
      <c r="D435" s="60">
        <v>0.0</v>
      </c>
      <c r="E435" s="60">
        <v>1.0</v>
      </c>
      <c r="F435" s="60">
        <v>0.0</v>
      </c>
      <c r="G435" s="118" t="s">
        <v>488</v>
      </c>
      <c r="H435" s="116"/>
      <c r="I435" s="116"/>
    </row>
    <row r="436">
      <c r="A436" s="117">
        <v>46061.93104246528</v>
      </c>
      <c r="B436" s="60" t="s">
        <v>395</v>
      </c>
      <c r="C436" s="60" t="s">
        <v>152</v>
      </c>
      <c r="D436" s="60">
        <v>0.0</v>
      </c>
      <c r="E436" s="60">
        <v>10.0</v>
      </c>
      <c r="F436" s="60">
        <v>0.0</v>
      </c>
      <c r="G436" s="118" t="s">
        <v>488</v>
      </c>
      <c r="H436" s="116"/>
      <c r="I436" s="116"/>
    </row>
    <row r="437">
      <c r="A437" s="117">
        <v>46061.93104246528</v>
      </c>
      <c r="B437" s="60" t="s">
        <v>395</v>
      </c>
      <c r="C437" s="60" t="s">
        <v>490</v>
      </c>
      <c r="D437" s="60">
        <v>12.0</v>
      </c>
      <c r="E437" s="60">
        <v>0.5</v>
      </c>
      <c r="F437" s="60">
        <v>6.0</v>
      </c>
      <c r="G437" s="118" t="s">
        <v>488</v>
      </c>
      <c r="H437" s="116"/>
      <c r="I437" s="116"/>
    </row>
    <row r="438">
      <c r="A438" s="117">
        <v>46061.93104246528</v>
      </c>
      <c r="B438" s="60" t="s">
        <v>395</v>
      </c>
      <c r="C438" s="60" t="s">
        <v>328</v>
      </c>
      <c r="D438" s="60">
        <v>0.07</v>
      </c>
      <c r="E438" s="60">
        <v>25.0</v>
      </c>
      <c r="F438" s="60">
        <v>1.8</v>
      </c>
      <c r="G438" s="118" t="s">
        <v>488</v>
      </c>
      <c r="H438" s="116"/>
      <c r="I438" s="116"/>
    </row>
    <row r="439">
      <c r="A439" s="117">
        <v>46061.93104246528</v>
      </c>
      <c r="B439" s="60" t="s">
        <v>399</v>
      </c>
      <c r="C439" s="60" t="s">
        <v>89</v>
      </c>
      <c r="D439" s="60">
        <v>0.13</v>
      </c>
      <c r="E439" s="60">
        <v>60.0</v>
      </c>
      <c r="F439" s="60">
        <v>7.8</v>
      </c>
      <c r="G439" s="118" t="s">
        <v>488</v>
      </c>
      <c r="H439" s="116"/>
      <c r="I439" s="116"/>
    </row>
    <row r="440">
      <c r="A440" s="117">
        <v>46060.93071681713</v>
      </c>
      <c r="B440" s="60" t="s">
        <v>392</v>
      </c>
      <c r="C440" s="60" t="s">
        <v>170</v>
      </c>
      <c r="D440" s="60">
        <v>0.0</v>
      </c>
      <c r="E440" s="60">
        <v>2.5</v>
      </c>
      <c r="F440" s="60">
        <v>0.0</v>
      </c>
      <c r="G440" s="118" t="s">
        <v>491</v>
      </c>
      <c r="H440" s="116"/>
      <c r="I440" s="116"/>
    </row>
    <row r="441">
      <c r="A441" s="117">
        <v>46060.93071681713</v>
      </c>
      <c r="B441" s="60" t="s">
        <v>392</v>
      </c>
      <c r="C441" s="60" t="s">
        <v>212</v>
      </c>
      <c r="D441" s="60">
        <v>0.33</v>
      </c>
      <c r="E441" s="60">
        <v>12.0</v>
      </c>
      <c r="F441" s="60">
        <v>4.0</v>
      </c>
      <c r="G441" s="118" t="s">
        <v>491</v>
      </c>
      <c r="H441" s="116"/>
      <c r="I441" s="116"/>
    </row>
    <row r="442">
      <c r="A442" s="117">
        <v>46060.93071681713</v>
      </c>
      <c r="B442" s="60" t="s">
        <v>392</v>
      </c>
      <c r="C442" s="60" t="s">
        <v>273</v>
      </c>
      <c r="D442" s="60">
        <v>0.09</v>
      </c>
      <c r="E442" s="60">
        <v>50.0</v>
      </c>
      <c r="F442" s="60">
        <v>4.5</v>
      </c>
      <c r="G442" s="118" t="s">
        <v>491</v>
      </c>
      <c r="H442" s="116"/>
      <c r="I442" s="116"/>
    </row>
    <row r="443">
      <c r="A443" s="117">
        <v>46060.93071681713</v>
      </c>
      <c r="B443" s="60" t="s">
        <v>392</v>
      </c>
      <c r="C443" s="60" t="s">
        <v>125</v>
      </c>
      <c r="D443" s="60">
        <v>0.08</v>
      </c>
      <c r="E443" s="60">
        <v>25.0</v>
      </c>
      <c r="F443" s="60">
        <v>2.0</v>
      </c>
      <c r="G443" s="118" t="s">
        <v>491</v>
      </c>
      <c r="H443" s="116"/>
      <c r="I443" s="116"/>
    </row>
    <row r="444">
      <c r="A444" s="117">
        <v>46060.93071681713</v>
      </c>
      <c r="B444" s="60" t="s">
        <v>392</v>
      </c>
      <c r="C444" s="60" t="s">
        <v>429</v>
      </c>
      <c r="D444" s="60">
        <v>10.0</v>
      </c>
      <c r="E444" s="60">
        <v>1.0</v>
      </c>
      <c r="F444" s="60">
        <v>10.0</v>
      </c>
      <c r="G444" s="118" t="s">
        <v>491</v>
      </c>
      <c r="H444" s="116"/>
      <c r="I444" s="116"/>
    </row>
    <row r="445">
      <c r="A445" s="117">
        <v>46060.93071681713</v>
      </c>
      <c r="B445" s="60" t="s">
        <v>397</v>
      </c>
      <c r="C445" s="60" t="s">
        <v>472</v>
      </c>
      <c r="D445" s="60">
        <v>4.0</v>
      </c>
      <c r="E445" s="60">
        <v>3.0</v>
      </c>
      <c r="F445" s="60">
        <v>12.0</v>
      </c>
      <c r="G445" s="118" t="s">
        <v>491</v>
      </c>
      <c r="H445" s="116"/>
      <c r="I445" s="116"/>
    </row>
    <row r="446">
      <c r="A446" s="117">
        <v>46060.93071681713</v>
      </c>
      <c r="B446" s="60" t="s">
        <v>397</v>
      </c>
      <c r="C446" s="60" t="s">
        <v>164</v>
      </c>
      <c r="D446" s="60">
        <v>0.0</v>
      </c>
      <c r="E446" s="60">
        <v>1.0</v>
      </c>
      <c r="F446" s="60">
        <v>0.0</v>
      </c>
      <c r="G446" s="118" t="s">
        <v>491</v>
      </c>
      <c r="H446" s="116"/>
      <c r="I446" s="116"/>
    </row>
    <row r="447">
      <c r="A447" s="117">
        <v>46060.93071681713</v>
      </c>
      <c r="B447" s="60" t="s">
        <v>397</v>
      </c>
      <c r="C447" s="60" t="s">
        <v>492</v>
      </c>
      <c r="D447" s="60">
        <v>2.0</v>
      </c>
      <c r="E447" s="60">
        <v>0.5</v>
      </c>
      <c r="F447" s="60">
        <v>1.0</v>
      </c>
      <c r="G447" s="118" t="s">
        <v>491</v>
      </c>
      <c r="H447" s="116"/>
      <c r="I447" s="116"/>
    </row>
    <row r="448">
      <c r="A448" s="117">
        <v>46060.93071681713</v>
      </c>
      <c r="B448" s="60" t="s">
        <v>397</v>
      </c>
      <c r="C448" s="60" t="s">
        <v>450</v>
      </c>
      <c r="D448" s="60">
        <v>0.19</v>
      </c>
      <c r="E448" s="60">
        <v>40.0</v>
      </c>
      <c r="F448" s="60">
        <v>7.6</v>
      </c>
      <c r="G448" s="118" t="s">
        <v>491</v>
      </c>
      <c r="H448" s="116"/>
      <c r="I448" s="116"/>
    </row>
    <row r="449">
      <c r="A449" s="117">
        <v>46060.93071681713</v>
      </c>
      <c r="B449" s="60" t="s">
        <v>398</v>
      </c>
      <c r="C449" s="60" t="s">
        <v>294</v>
      </c>
      <c r="D449" s="60">
        <v>0.05</v>
      </c>
      <c r="E449" s="60">
        <v>60.0</v>
      </c>
      <c r="F449" s="60">
        <v>3.0</v>
      </c>
      <c r="G449" s="118" t="s">
        <v>491</v>
      </c>
      <c r="H449" s="116"/>
      <c r="I449" s="116"/>
    </row>
    <row r="450">
      <c r="A450" s="117">
        <v>46060.93071681713</v>
      </c>
      <c r="B450" s="60" t="s">
        <v>398</v>
      </c>
      <c r="C450" s="60" t="s">
        <v>444</v>
      </c>
      <c r="D450" s="60">
        <v>0.07</v>
      </c>
      <c r="E450" s="60">
        <v>29.0</v>
      </c>
      <c r="F450" s="60">
        <v>2.0</v>
      </c>
      <c r="G450" s="118" t="s">
        <v>491</v>
      </c>
      <c r="H450" s="116"/>
      <c r="I450" s="116"/>
    </row>
    <row r="451">
      <c r="A451" s="117">
        <v>46060.93071681713</v>
      </c>
      <c r="B451" s="60" t="s">
        <v>395</v>
      </c>
      <c r="C451" s="60" t="s">
        <v>439</v>
      </c>
      <c r="D451" s="60">
        <v>0.31</v>
      </c>
      <c r="E451" s="60">
        <v>70.0</v>
      </c>
      <c r="F451" s="60">
        <v>21.7</v>
      </c>
      <c r="G451" s="118" t="s">
        <v>491</v>
      </c>
      <c r="H451" s="116"/>
      <c r="I451" s="116"/>
    </row>
    <row r="452">
      <c r="A452" s="117">
        <v>46060.93071681713</v>
      </c>
      <c r="B452" s="60" t="s">
        <v>395</v>
      </c>
      <c r="C452" s="60" t="s">
        <v>442</v>
      </c>
      <c r="D452" s="60">
        <v>8.0</v>
      </c>
      <c r="E452" s="60">
        <v>1.5</v>
      </c>
      <c r="F452" s="60">
        <v>12.0</v>
      </c>
      <c r="G452" s="118" t="s">
        <v>491</v>
      </c>
      <c r="H452" s="116"/>
      <c r="I452" s="116"/>
    </row>
    <row r="453">
      <c r="A453" s="117">
        <v>46060.93071681713</v>
      </c>
      <c r="B453" s="60" t="s">
        <v>395</v>
      </c>
      <c r="C453" s="60" t="s">
        <v>443</v>
      </c>
      <c r="D453" s="60">
        <v>0.15</v>
      </c>
      <c r="E453" s="60">
        <v>4.0</v>
      </c>
      <c r="F453" s="60">
        <v>0.6</v>
      </c>
      <c r="G453" s="118" t="s">
        <v>491</v>
      </c>
      <c r="H453" s="116"/>
      <c r="I453" s="116"/>
    </row>
    <row r="454">
      <c r="A454" s="117">
        <v>46060.93071681713</v>
      </c>
      <c r="B454" s="60" t="s">
        <v>395</v>
      </c>
      <c r="C454" s="60" t="s">
        <v>493</v>
      </c>
      <c r="D454" s="60">
        <v>0.0</v>
      </c>
      <c r="E454" s="60">
        <v>1.0</v>
      </c>
      <c r="F454" s="60">
        <v>0.0</v>
      </c>
      <c r="G454" s="118" t="s">
        <v>491</v>
      </c>
      <c r="H454" s="116"/>
      <c r="I454" s="116"/>
    </row>
    <row r="455">
      <c r="A455" s="117">
        <v>46060.93071681713</v>
      </c>
      <c r="B455" s="60" t="s">
        <v>395</v>
      </c>
      <c r="C455" s="60" t="s">
        <v>328</v>
      </c>
      <c r="D455" s="60">
        <v>0.07</v>
      </c>
      <c r="E455" s="60">
        <v>14.0</v>
      </c>
      <c r="F455" s="60">
        <v>1.0</v>
      </c>
      <c r="G455" s="118" t="s">
        <v>491</v>
      </c>
      <c r="H455" s="116"/>
      <c r="I455" s="116"/>
    </row>
    <row r="456">
      <c r="A456" s="117">
        <v>46059.93075262732</v>
      </c>
      <c r="B456" s="60" t="s">
        <v>392</v>
      </c>
      <c r="C456" s="60" t="s">
        <v>98</v>
      </c>
      <c r="D456" s="60">
        <v>0.18</v>
      </c>
      <c r="E456" s="60">
        <v>62.0</v>
      </c>
      <c r="F456" s="60">
        <v>11.2</v>
      </c>
      <c r="G456" s="118" t="s">
        <v>494</v>
      </c>
      <c r="H456" s="116"/>
      <c r="I456" s="116"/>
    </row>
    <row r="457">
      <c r="A457" s="117">
        <v>46059.93075262732</v>
      </c>
      <c r="B457" s="60" t="s">
        <v>392</v>
      </c>
      <c r="C457" s="60" t="s">
        <v>429</v>
      </c>
      <c r="D457" s="60">
        <v>10.0</v>
      </c>
      <c r="E457" s="60">
        <v>1.5</v>
      </c>
      <c r="F457" s="60">
        <v>15.0</v>
      </c>
      <c r="G457" s="118" t="s">
        <v>494</v>
      </c>
      <c r="H457" s="116"/>
      <c r="I457" s="116"/>
    </row>
    <row r="458">
      <c r="A458" s="117">
        <v>46059.93075262732</v>
      </c>
      <c r="B458" s="60" t="s">
        <v>392</v>
      </c>
      <c r="C458" s="60" t="s">
        <v>233</v>
      </c>
      <c r="D458" s="60">
        <v>0.13</v>
      </c>
      <c r="E458" s="60">
        <v>18.0</v>
      </c>
      <c r="F458" s="60">
        <v>2.3</v>
      </c>
      <c r="G458" s="118" t="s">
        <v>494</v>
      </c>
      <c r="H458" s="116"/>
      <c r="I458" s="116"/>
    </row>
    <row r="459">
      <c r="A459" s="117">
        <v>46059.93075262732</v>
      </c>
      <c r="B459" s="60" t="s">
        <v>394</v>
      </c>
      <c r="C459" s="60" t="s">
        <v>125</v>
      </c>
      <c r="D459" s="60">
        <v>0.08</v>
      </c>
      <c r="E459" s="60">
        <v>65.0</v>
      </c>
      <c r="F459" s="60">
        <v>5.2</v>
      </c>
      <c r="G459" s="118" t="s">
        <v>494</v>
      </c>
      <c r="H459" s="116"/>
      <c r="I459" s="116"/>
    </row>
    <row r="460">
      <c r="A460" s="117">
        <v>46059.93075262732</v>
      </c>
      <c r="B460" s="60" t="s">
        <v>395</v>
      </c>
      <c r="C460" s="60" t="s">
        <v>492</v>
      </c>
      <c r="D460" s="60">
        <v>2.0</v>
      </c>
      <c r="E460" s="60">
        <v>0.5</v>
      </c>
      <c r="F460" s="60">
        <v>1.0</v>
      </c>
      <c r="G460" s="118" t="s">
        <v>494</v>
      </c>
      <c r="H460" s="116"/>
      <c r="I460" s="116"/>
    </row>
    <row r="461">
      <c r="A461" s="117">
        <v>46059.93075262732</v>
      </c>
      <c r="B461" s="60" t="s">
        <v>395</v>
      </c>
      <c r="C461" s="60" t="s">
        <v>104</v>
      </c>
      <c r="D461" s="60">
        <v>0.05</v>
      </c>
      <c r="E461" s="60">
        <v>35.0</v>
      </c>
      <c r="F461" s="60">
        <v>1.8</v>
      </c>
      <c r="G461" s="118" t="s">
        <v>494</v>
      </c>
      <c r="H461" s="116"/>
      <c r="I461" s="116"/>
    </row>
    <row r="462">
      <c r="A462" s="117">
        <v>46059.93075262732</v>
      </c>
      <c r="B462" s="60" t="s">
        <v>395</v>
      </c>
      <c r="C462" s="60" t="s">
        <v>450</v>
      </c>
      <c r="D462" s="60">
        <v>0.19</v>
      </c>
      <c r="E462" s="60">
        <v>55.0</v>
      </c>
      <c r="F462" s="60">
        <v>10.5</v>
      </c>
      <c r="G462" s="118" t="s">
        <v>494</v>
      </c>
      <c r="H462" s="116"/>
      <c r="I462" s="116"/>
    </row>
    <row r="463">
      <c r="A463" s="117">
        <v>46059.93075262732</v>
      </c>
      <c r="B463" s="60" t="s">
        <v>395</v>
      </c>
      <c r="C463" s="60" t="s">
        <v>327</v>
      </c>
      <c r="D463" s="60">
        <v>0.07</v>
      </c>
      <c r="E463" s="60">
        <v>8.0</v>
      </c>
      <c r="F463" s="60">
        <v>0.6</v>
      </c>
      <c r="G463" s="118" t="s">
        <v>494</v>
      </c>
      <c r="H463" s="116"/>
      <c r="I463" s="116"/>
    </row>
    <row r="464">
      <c r="A464" s="117">
        <v>46059.93075262732</v>
      </c>
      <c r="B464" s="60" t="s">
        <v>399</v>
      </c>
      <c r="C464" s="60" t="s">
        <v>313</v>
      </c>
      <c r="D464" s="60">
        <v>0.15</v>
      </c>
      <c r="E464" s="60">
        <v>82.0</v>
      </c>
      <c r="F464" s="60">
        <v>12.3</v>
      </c>
      <c r="G464" s="118" t="s">
        <v>494</v>
      </c>
      <c r="H464" s="116"/>
      <c r="I464" s="116"/>
    </row>
    <row r="465">
      <c r="A465" s="117">
        <v>46058.93069039352</v>
      </c>
      <c r="B465" s="60" t="s">
        <v>392</v>
      </c>
      <c r="C465" s="60" t="s">
        <v>429</v>
      </c>
      <c r="D465" s="60">
        <v>10.0</v>
      </c>
      <c r="E465" s="60">
        <v>1.5</v>
      </c>
      <c r="F465" s="60">
        <v>15.0</v>
      </c>
      <c r="G465" s="118" t="s">
        <v>495</v>
      </c>
      <c r="H465" s="116"/>
      <c r="I465" s="116"/>
    </row>
    <row r="466">
      <c r="A466" s="117">
        <v>46058.93069039352</v>
      </c>
      <c r="B466" s="60" t="s">
        <v>392</v>
      </c>
      <c r="C466" s="60" t="s">
        <v>233</v>
      </c>
      <c r="D466" s="60">
        <v>0.13</v>
      </c>
      <c r="E466" s="60">
        <v>18.0</v>
      </c>
      <c r="F466" s="60">
        <v>2.3</v>
      </c>
      <c r="G466" s="118" t="s">
        <v>495</v>
      </c>
      <c r="H466" s="116"/>
      <c r="I466" s="116"/>
    </row>
    <row r="467">
      <c r="A467" s="117">
        <v>46058.93069039352</v>
      </c>
      <c r="B467" s="60" t="s">
        <v>392</v>
      </c>
      <c r="C467" s="60" t="s">
        <v>496</v>
      </c>
      <c r="D467" s="60">
        <v>4.0</v>
      </c>
      <c r="E467" s="60">
        <v>1.0</v>
      </c>
      <c r="F467" s="60">
        <v>4.0</v>
      </c>
      <c r="G467" s="118" t="s">
        <v>495</v>
      </c>
      <c r="H467" s="116"/>
      <c r="I467" s="116"/>
    </row>
    <row r="468">
      <c r="A468" s="117">
        <v>46058.93069039352</v>
      </c>
      <c r="B468" s="60" t="s">
        <v>397</v>
      </c>
      <c r="C468" s="60" t="s">
        <v>198</v>
      </c>
      <c r="D468" s="60">
        <v>0.6</v>
      </c>
      <c r="E468" s="60">
        <v>11.0</v>
      </c>
      <c r="F468" s="60">
        <v>6.6</v>
      </c>
      <c r="G468" s="118" t="s">
        <v>495</v>
      </c>
      <c r="H468" s="116"/>
      <c r="I468" s="116"/>
    </row>
    <row r="469">
      <c r="A469" s="117">
        <v>46058.93069039352</v>
      </c>
      <c r="B469" s="60" t="s">
        <v>397</v>
      </c>
      <c r="C469" s="60" t="s">
        <v>273</v>
      </c>
      <c r="D469" s="60">
        <v>0.09</v>
      </c>
      <c r="E469" s="60">
        <v>50.0</v>
      </c>
      <c r="F469" s="60">
        <v>4.5</v>
      </c>
      <c r="G469" s="118" t="s">
        <v>495</v>
      </c>
      <c r="H469" s="116"/>
      <c r="I469" s="116"/>
    </row>
    <row r="470">
      <c r="A470" s="117">
        <v>46058.93069039352</v>
      </c>
      <c r="B470" s="60" t="s">
        <v>397</v>
      </c>
      <c r="C470" s="60" t="s">
        <v>343</v>
      </c>
      <c r="D470" s="60">
        <v>0.58</v>
      </c>
      <c r="E470" s="60">
        <v>10.0</v>
      </c>
      <c r="F470" s="60">
        <v>5.8</v>
      </c>
      <c r="G470" s="118" t="s">
        <v>495</v>
      </c>
      <c r="H470" s="116"/>
      <c r="I470" s="116"/>
    </row>
    <row r="471">
      <c r="A471" s="117">
        <v>46058.93069039352</v>
      </c>
      <c r="B471" s="60" t="s">
        <v>395</v>
      </c>
      <c r="C471" s="60" t="s">
        <v>417</v>
      </c>
      <c r="D471" s="60">
        <v>0.06</v>
      </c>
      <c r="E471" s="60">
        <v>139.0</v>
      </c>
      <c r="F471" s="60">
        <v>8.4</v>
      </c>
      <c r="G471" s="118" t="s">
        <v>495</v>
      </c>
      <c r="H471" s="116"/>
      <c r="I471" s="116"/>
    </row>
    <row r="472">
      <c r="A472" s="117">
        <v>46058.93069039352</v>
      </c>
      <c r="B472" s="60" t="s">
        <v>395</v>
      </c>
      <c r="C472" s="60" t="s">
        <v>497</v>
      </c>
      <c r="D472" s="60">
        <v>0.65</v>
      </c>
      <c r="E472" s="60">
        <v>11.0</v>
      </c>
      <c r="F472" s="60">
        <v>7.2</v>
      </c>
      <c r="G472" s="118" t="s">
        <v>495</v>
      </c>
      <c r="H472" s="116"/>
      <c r="I472" s="116"/>
    </row>
    <row r="473">
      <c r="A473" s="117">
        <v>46058.93069039352</v>
      </c>
      <c r="B473" s="60" t="s">
        <v>395</v>
      </c>
      <c r="C473" s="60" t="s">
        <v>256</v>
      </c>
      <c r="D473" s="60">
        <v>2.0</v>
      </c>
      <c r="E473" s="60">
        <v>3.0</v>
      </c>
      <c r="F473" s="60">
        <v>6.0</v>
      </c>
      <c r="G473" s="118" t="s">
        <v>495</v>
      </c>
      <c r="H473" s="116"/>
      <c r="I473" s="116"/>
    </row>
    <row r="474">
      <c r="A474" s="117">
        <v>46057.934619340274</v>
      </c>
      <c r="B474" s="60" t="s">
        <v>392</v>
      </c>
      <c r="C474" s="60" t="s">
        <v>170</v>
      </c>
      <c r="D474" s="60">
        <v>0.0</v>
      </c>
      <c r="E474" s="60">
        <v>2.5</v>
      </c>
      <c r="F474" s="60">
        <v>0.0</v>
      </c>
      <c r="G474" s="118" t="s">
        <v>498</v>
      </c>
      <c r="H474" s="116"/>
      <c r="I474" s="116"/>
    </row>
    <row r="475">
      <c r="A475" s="117">
        <v>46057.934619340274</v>
      </c>
      <c r="B475" s="60" t="s">
        <v>392</v>
      </c>
      <c r="C475" s="60" t="s">
        <v>212</v>
      </c>
      <c r="D475" s="60">
        <v>0.33</v>
      </c>
      <c r="E475" s="60">
        <v>12.0</v>
      </c>
      <c r="F475" s="60">
        <v>4.0</v>
      </c>
      <c r="G475" s="118" t="s">
        <v>498</v>
      </c>
      <c r="H475" s="116"/>
      <c r="I475" s="116"/>
    </row>
    <row r="476">
      <c r="A476" s="117">
        <v>46057.934619340274</v>
      </c>
      <c r="B476" s="60" t="s">
        <v>392</v>
      </c>
      <c r="C476" s="60" t="s">
        <v>429</v>
      </c>
      <c r="D476" s="60">
        <v>10.0</v>
      </c>
      <c r="E476" s="60">
        <v>1.0</v>
      </c>
      <c r="F476" s="60">
        <v>10.0</v>
      </c>
      <c r="G476" s="118" t="s">
        <v>498</v>
      </c>
      <c r="H476" s="116"/>
      <c r="I476" s="116"/>
    </row>
    <row r="477">
      <c r="A477" s="117">
        <v>46057.934619340274</v>
      </c>
      <c r="B477" s="60" t="s">
        <v>392</v>
      </c>
      <c r="C477" s="60" t="s">
        <v>218</v>
      </c>
      <c r="D477" s="60">
        <v>0.08</v>
      </c>
      <c r="E477" s="60">
        <v>60.0</v>
      </c>
      <c r="F477" s="60">
        <v>4.8</v>
      </c>
      <c r="G477" s="118" t="s">
        <v>498</v>
      </c>
      <c r="H477" s="116"/>
      <c r="I477" s="116"/>
    </row>
    <row r="478">
      <c r="A478" s="117">
        <v>46057.934619340274</v>
      </c>
      <c r="B478" s="60" t="s">
        <v>392</v>
      </c>
      <c r="C478" s="60" t="s">
        <v>273</v>
      </c>
      <c r="D478" s="60">
        <v>0.09</v>
      </c>
      <c r="E478" s="60">
        <v>25.0</v>
      </c>
      <c r="F478" s="60">
        <v>2.3</v>
      </c>
      <c r="G478" s="118" t="s">
        <v>498</v>
      </c>
      <c r="H478" s="116"/>
      <c r="I478" s="116"/>
    </row>
    <row r="479">
      <c r="A479" s="117">
        <v>46057.934619340274</v>
      </c>
      <c r="B479" s="60" t="s">
        <v>397</v>
      </c>
      <c r="C479" s="60" t="s">
        <v>89</v>
      </c>
      <c r="D479" s="60">
        <v>0.13</v>
      </c>
      <c r="E479" s="60">
        <v>50.0</v>
      </c>
      <c r="F479" s="60">
        <v>6.5</v>
      </c>
      <c r="G479" s="118" t="s">
        <v>498</v>
      </c>
      <c r="H479" s="116"/>
      <c r="I479" s="116"/>
    </row>
    <row r="480">
      <c r="A480" s="117">
        <v>46057.934619340274</v>
      </c>
      <c r="B480" s="60" t="s">
        <v>395</v>
      </c>
      <c r="C480" s="60" t="s">
        <v>189</v>
      </c>
      <c r="D480" s="60">
        <v>0.14</v>
      </c>
      <c r="E480" s="60">
        <v>70.0</v>
      </c>
      <c r="F480" s="60">
        <v>9.8</v>
      </c>
      <c r="G480" s="118" t="s">
        <v>498</v>
      </c>
      <c r="H480" s="116"/>
      <c r="I480" s="116"/>
    </row>
    <row r="481">
      <c r="A481" s="117">
        <v>46057.934619340274</v>
      </c>
      <c r="B481" s="60" t="s">
        <v>395</v>
      </c>
      <c r="C481" s="60" t="s">
        <v>328</v>
      </c>
      <c r="D481" s="60">
        <v>0.07</v>
      </c>
      <c r="E481" s="60">
        <v>21.0</v>
      </c>
      <c r="F481" s="60">
        <v>1.5</v>
      </c>
      <c r="G481" s="118" t="s">
        <v>498</v>
      </c>
      <c r="H481" s="116"/>
      <c r="I481" s="116"/>
    </row>
    <row r="482">
      <c r="A482" s="117">
        <v>46057.934619340274</v>
      </c>
      <c r="B482" s="60" t="s">
        <v>395</v>
      </c>
      <c r="C482" s="60" t="s">
        <v>104</v>
      </c>
      <c r="D482" s="60">
        <v>0.05</v>
      </c>
      <c r="E482" s="60">
        <v>19.0</v>
      </c>
      <c r="F482" s="60">
        <v>1.0</v>
      </c>
      <c r="G482" s="118" t="s">
        <v>498</v>
      </c>
      <c r="H482" s="116"/>
      <c r="I482" s="116"/>
    </row>
    <row r="483">
      <c r="A483" s="117">
        <v>46057.934619340274</v>
      </c>
      <c r="B483" s="60" t="s">
        <v>395</v>
      </c>
      <c r="C483" s="60" t="s">
        <v>444</v>
      </c>
      <c r="D483" s="60">
        <v>0.07</v>
      </c>
      <c r="E483" s="60">
        <v>19.0</v>
      </c>
      <c r="F483" s="60">
        <v>1.3</v>
      </c>
      <c r="G483" s="118" t="s">
        <v>498</v>
      </c>
      <c r="H483" s="116"/>
      <c r="I483" s="116"/>
    </row>
    <row r="484">
      <c r="A484" s="117">
        <v>46057.934619340274</v>
      </c>
      <c r="B484" s="60" t="s">
        <v>395</v>
      </c>
      <c r="C484" s="60" t="s">
        <v>132</v>
      </c>
      <c r="D484" s="60">
        <v>0.02</v>
      </c>
      <c r="E484" s="60">
        <v>41.0</v>
      </c>
      <c r="F484" s="60">
        <v>0.8</v>
      </c>
      <c r="G484" s="118" t="s">
        <v>498</v>
      </c>
      <c r="H484" s="116"/>
      <c r="I484" s="116"/>
    </row>
    <row r="485">
      <c r="A485" s="117">
        <v>46057.934619340274</v>
      </c>
      <c r="B485" s="60" t="s">
        <v>395</v>
      </c>
      <c r="C485" s="60" t="s">
        <v>499</v>
      </c>
      <c r="D485" s="60">
        <v>13.0</v>
      </c>
      <c r="E485" s="60">
        <v>1.0</v>
      </c>
      <c r="F485" s="60">
        <v>13.0</v>
      </c>
      <c r="G485" s="118" t="s">
        <v>498</v>
      </c>
      <c r="H485" s="116"/>
      <c r="I485" s="116"/>
    </row>
    <row r="486">
      <c r="A486" s="117">
        <v>46056.930794444444</v>
      </c>
      <c r="B486" s="60" t="s">
        <v>392</v>
      </c>
      <c r="C486" s="60" t="s">
        <v>429</v>
      </c>
      <c r="D486" s="60">
        <v>10.0</v>
      </c>
      <c r="E486" s="60">
        <v>1.5</v>
      </c>
      <c r="F486" s="60">
        <v>15.0</v>
      </c>
      <c r="G486" s="118" t="s">
        <v>500</v>
      </c>
      <c r="H486" s="116"/>
      <c r="I486" s="116"/>
    </row>
    <row r="487">
      <c r="A487" s="117">
        <v>46056.930794444444</v>
      </c>
      <c r="B487" s="60" t="s">
        <v>392</v>
      </c>
      <c r="C487" s="60" t="s">
        <v>233</v>
      </c>
      <c r="D487" s="60">
        <v>0.13</v>
      </c>
      <c r="E487" s="60">
        <v>18.0</v>
      </c>
      <c r="F487" s="60">
        <v>2.3</v>
      </c>
      <c r="G487" s="118" t="s">
        <v>500</v>
      </c>
      <c r="H487" s="116"/>
      <c r="I487" s="116"/>
    </row>
    <row r="488">
      <c r="A488" s="117">
        <v>46056.930794444444</v>
      </c>
      <c r="B488" s="60" t="s">
        <v>392</v>
      </c>
      <c r="C488" s="60" t="s">
        <v>89</v>
      </c>
      <c r="D488" s="60">
        <v>0.13</v>
      </c>
      <c r="E488" s="60">
        <v>50.0</v>
      </c>
      <c r="F488" s="60">
        <v>6.5</v>
      </c>
      <c r="G488" s="118" t="s">
        <v>500</v>
      </c>
      <c r="H488" s="116"/>
      <c r="I488" s="116"/>
    </row>
    <row r="489">
      <c r="A489" s="117">
        <v>46056.930794444444</v>
      </c>
      <c r="B489" s="60" t="s">
        <v>398</v>
      </c>
      <c r="C489" s="60" t="s">
        <v>111</v>
      </c>
      <c r="D489" s="60">
        <v>0.12</v>
      </c>
      <c r="E489" s="60">
        <v>35.0</v>
      </c>
      <c r="F489" s="60">
        <v>4.2</v>
      </c>
      <c r="G489" s="118" t="s">
        <v>500</v>
      </c>
      <c r="H489" s="116"/>
      <c r="I489" s="116"/>
    </row>
    <row r="490">
      <c r="A490" s="117">
        <v>46056.930794444444</v>
      </c>
      <c r="B490" s="60" t="s">
        <v>395</v>
      </c>
      <c r="C490" s="60" t="s">
        <v>501</v>
      </c>
      <c r="D490" s="60">
        <v>0.6</v>
      </c>
      <c r="E490" s="60">
        <v>42.0</v>
      </c>
      <c r="F490" s="60">
        <v>25.2</v>
      </c>
      <c r="G490" s="118" t="s">
        <v>500</v>
      </c>
      <c r="H490" s="116"/>
      <c r="I490" s="116"/>
    </row>
    <row r="491">
      <c r="A491" s="117">
        <v>46056.930794444444</v>
      </c>
      <c r="B491" s="60" t="s">
        <v>395</v>
      </c>
      <c r="C491" s="60" t="s">
        <v>426</v>
      </c>
      <c r="D491" s="60">
        <v>1.0</v>
      </c>
      <c r="E491" s="60">
        <v>2.4</v>
      </c>
      <c r="F491" s="60">
        <v>2.4</v>
      </c>
      <c r="G491" s="118" t="s">
        <v>500</v>
      </c>
      <c r="H491" s="116"/>
      <c r="I491" s="116"/>
    </row>
    <row r="492">
      <c r="A492" s="117">
        <v>46056.930794444444</v>
      </c>
      <c r="B492" s="60" t="s">
        <v>395</v>
      </c>
      <c r="C492" s="60" t="s">
        <v>462</v>
      </c>
      <c r="D492" s="60">
        <v>0.02</v>
      </c>
      <c r="E492" s="60">
        <v>60.0</v>
      </c>
      <c r="F492" s="60">
        <v>1.2</v>
      </c>
      <c r="G492" s="118" t="s">
        <v>500</v>
      </c>
      <c r="H492" s="116"/>
      <c r="I492" s="116"/>
    </row>
    <row r="493">
      <c r="A493" s="117">
        <v>46056.930794444444</v>
      </c>
      <c r="B493" s="60" t="s">
        <v>395</v>
      </c>
      <c r="C493" s="60" t="s">
        <v>152</v>
      </c>
      <c r="D493" s="60">
        <v>0.0</v>
      </c>
      <c r="E493" s="60">
        <v>10.0</v>
      </c>
      <c r="F493" s="60">
        <v>0.0</v>
      </c>
      <c r="G493" s="118" t="s">
        <v>500</v>
      </c>
      <c r="H493" s="116"/>
      <c r="I493" s="116"/>
    </row>
    <row r="494">
      <c r="A494" s="117">
        <v>46056.930794444444</v>
      </c>
      <c r="B494" s="60" t="s">
        <v>395</v>
      </c>
      <c r="C494" s="60" t="s">
        <v>462</v>
      </c>
      <c r="D494" s="60">
        <v>0.02</v>
      </c>
      <c r="E494" s="60">
        <v>35.0</v>
      </c>
      <c r="F494" s="60">
        <v>0.7</v>
      </c>
      <c r="G494" s="118" t="s">
        <v>500</v>
      </c>
      <c r="H494" s="116"/>
      <c r="I494" s="116"/>
    </row>
    <row r="495">
      <c r="A495" s="117">
        <v>46055.93073637731</v>
      </c>
      <c r="B495" s="60" t="s">
        <v>392</v>
      </c>
      <c r="C495" s="60" t="s">
        <v>170</v>
      </c>
      <c r="D495" s="60">
        <v>0.0</v>
      </c>
      <c r="E495" s="60">
        <v>2.5</v>
      </c>
      <c r="F495" s="60">
        <v>0.0</v>
      </c>
      <c r="G495" s="118" t="s">
        <v>502</v>
      </c>
      <c r="H495" s="116"/>
      <c r="I495" s="116"/>
    </row>
    <row r="496">
      <c r="A496" s="117">
        <v>46055.93073637731</v>
      </c>
      <c r="B496" s="60" t="s">
        <v>392</v>
      </c>
      <c r="C496" s="60" t="s">
        <v>212</v>
      </c>
      <c r="D496" s="60">
        <v>0.33</v>
      </c>
      <c r="E496" s="60">
        <v>12.0</v>
      </c>
      <c r="F496" s="60">
        <v>4.0</v>
      </c>
      <c r="G496" s="118" t="s">
        <v>502</v>
      </c>
      <c r="H496" s="116"/>
      <c r="I496" s="116"/>
    </row>
    <row r="497">
      <c r="A497" s="117">
        <v>46055.93073637731</v>
      </c>
      <c r="B497" s="60" t="s">
        <v>392</v>
      </c>
      <c r="C497" s="60" t="s">
        <v>429</v>
      </c>
      <c r="D497" s="60">
        <v>10.0</v>
      </c>
      <c r="E497" s="60">
        <v>1.0</v>
      </c>
      <c r="F497" s="60">
        <v>10.0</v>
      </c>
      <c r="G497" s="118" t="s">
        <v>502</v>
      </c>
      <c r="H497" s="116"/>
      <c r="I497" s="116"/>
    </row>
    <row r="498">
      <c r="A498" s="117">
        <v>46055.93073637731</v>
      </c>
      <c r="B498" s="60" t="s">
        <v>392</v>
      </c>
      <c r="C498" s="60" t="s">
        <v>424</v>
      </c>
      <c r="D498" s="60">
        <v>0.27</v>
      </c>
      <c r="E498" s="60">
        <v>10.0</v>
      </c>
      <c r="F498" s="60">
        <v>2.7</v>
      </c>
      <c r="G498" s="118" t="s">
        <v>502</v>
      </c>
      <c r="H498" s="116"/>
      <c r="I498" s="116"/>
    </row>
    <row r="499">
      <c r="A499" s="117">
        <v>46055.93073637731</v>
      </c>
      <c r="B499" s="60" t="s">
        <v>392</v>
      </c>
      <c r="C499" s="60" t="s">
        <v>273</v>
      </c>
      <c r="D499" s="60">
        <v>0.09</v>
      </c>
      <c r="E499" s="60">
        <v>45.0</v>
      </c>
      <c r="F499" s="60">
        <v>4.1</v>
      </c>
      <c r="G499" s="118" t="s">
        <v>502</v>
      </c>
      <c r="H499" s="116"/>
      <c r="I499" s="116"/>
    </row>
    <row r="500">
      <c r="A500" s="117">
        <v>46055.93073637731</v>
      </c>
      <c r="B500" s="60" t="s">
        <v>394</v>
      </c>
      <c r="C500" s="60" t="s">
        <v>89</v>
      </c>
      <c r="D500" s="60">
        <v>0.13</v>
      </c>
      <c r="E500" s="60">
        <v>50.0</v>
      </c>
      <c r="F500" s="60">
        <v>6.5</v>
      </c>
      <c r="G500" s="118" t="s">
        <v>502</v>
      </c>
      <c r="H500" s="116"/>
      <c r="I500" s="116"/>
    </row>
    <row r="501">
      <c r="A501" s="117">
        <v>46055.93073637731</v>
      </c>
      <c r="B501" s="60" t="s">
        <v>398</v>
      </c>
      <c r="C501" s="60" t="s">
        <v>218</v>
      </c>
      <c r="D501" s="60">
        <v>0.08</v>
      </c>
      <c r="E501" s="60">
        <v>84.0</v>
      </c>
      <c r="F501" s="60">
        <v>6.7</v>
      </c>
      <c r="G501" s="118" t="s">
        <v>502</v>
      </c>
      <c r="H501" s="116"/>
      <c r="I501" s="116"/>
    </row>
    <row r="502">
      <c r="A502" s="117">
        <v>46055.93073637731</v>
      </c>
      <c r="B502" s="60" t="s">
        <v>395</v>
      </c>
      <c r="C502" s="60" t="s">
        <v>278</v>
      </c>
      <c r="D502" s="60">
        <v>0.08</v>
      </c>
      <c r="E502" s="60">
        <v>35.0</v>
      </c>
      <c r="F502" s="60">
        <v>2.83</v>
      </c>
      <c r="G502" s="118" t="s">
        <v>502</v>
      </c>
      <c r="H502" s="116"/>
      <c r="I502" s="116"/>
    </row>
    <row r="503">
      <c r="A503" s="117">
        <v>46055.93073637731</v>
      </c>
      <c r="B503" s="60" t="s">
        <v>395</v>
      </c>
      <c r="C503" s="60" t="s">
        <v>438</v>
      </c>
      <c r="D503" s="60">
        <v>0.0</v>
      </c>
      <c r="E503" s="60">
        <v>50.0</v>
      </c>
      <c r="F503" s="60">
        <v>0.0</v>
      </c>
      <c r="G503" s="118" t="s">
        <v>502</v>
      </c>
      <c r="H503" s="116"/>
      <c r="I503" s="116"/>
    </row>
    <row r="504">
      <c r="A504" s="117">
        <v>46055.93073637731</v>
      </c>
      <c r="B504" s="60" t="s">
        <v>395</v>
      </c>
      <c r="C504" s="60" t="s">
        <v>462</v>
      </c>
      <c r="D504" s="60">
        <v>0.02</v>
      </c>
      <c r="E504" s="60">
        <v>100.0</v>
      </c>
      <c r="F504" s="60">
        <v>2.0</v>
      </c>
      <c r="G504" s="118" t="s">
        <v>502</v>
      </c>
      <c r="H504" s="116"/>
      <c r="I504" s="116"/>
    </row>
    <row r="505">
      <c r="A505" s="117">
        <v>46055.93073637731</v>
      </c>
      <c r="B505" s="60" t="s">
        <v>395</v>
      </c>
      <c r="C505" s="60" t="s">
        <v>439</v>
      </c>
      <c r="D505" s="60">
        <v>0.31</v>
      </c>
      <c r="E505" s="60">
        <v>70.0</v>
      </c>
      <c r="F505" s="60">
        <v>21.7</v>
      </c>
      <c r="G505" s="118" t="s">
        <v>502</v>
      </c>
      <c r="H505" s="116"/>
      <c r="I505" s="116"/>
    </row>
    <row r="506">
      <c r="A506" s="117">
        <v>46055.93073637731</v>
      </c>
      <c r="B506" s="60" t="s">
        <v>399</v>
      </c>
      <c r="C506" s="60" t="s">
        <v>198</v>
      </c>
      <c r="D506" s="60">
        <v>0.6</v>
      </c>
      <c r="E506" s="60">
        <v>6.0</v>
      </c>
      <c r="F506" s="60">
        <v>3.6</v>
      </c>
      <c r="G506" s="118" t="s">
        <v>502</v>
      </c>
      <c r="H506" s="116"/>
      <c r="I506" s="116"/>
    </row>
    <row r="507">
      <c r="A507" s="117">
        <v>46055.93073637731</v>
      </c>
      <c r="B507" s="60" t="s">
        <v>399</v>
      </c>
      <c r="C507" s="60" t="s">
        <v>218</v>
      </c>
      <c r="D507" s="60">
        <v>0.08</v>
      </c>
      <c r="E507" s="60">
        <v>81.0</v>
      </c>
      <c r="F507" s="60">
        <v>6.5</v>
      </c>
      <c r="G507" s="118" t="s">
        <v>502</v>
      </c>
      <c r="H507" s="116"/>
      <c r="I507" s="116"/>
    </row>
    <row r="508">
      <c r="A508" s="117">
        <v>46055.93073637731</v>
      </c>
      <c r="B508" s="60" t="s">
        <v>399</v>
      </c>
      <c r="C508" s="60" t="s">
        <v>273</v>
      </c>
      <c r="D508" s="60">
        <v>0.09</v>
      </c>
      <c r="E508" s="60">
        <v>54.0</v>
      </c>
      <c r="F508" s="60">
        <v>4.9</v>
      </c>
      <c r="G508" s="118" t="s">
        <v>502</v>
      </c>
      <c r="H508" s="116"/>
      <c r="I508" s="116"/>
    </row>
    <row r="509">
      <c r="A509" s="117">
        <v>46054.930702673606</v>
      </c>
      <c r="B509" s="60" t="s">
        <v>392</v>
      </c>
      <c r="C509" s="60" t="s">
        <v>429</v>
      </c>
      <c r="D509" s="60">
        <v>10.0</v>
      </c>
      <c r="E509" s="60">
        <v>1.0</v>
      </c>
      <c r="F509" s="60">
        <v>10.0</v>
      </c>
      <c r="G509" s="118" t="s">
        <v>503</v>
      </c>
      <c r="H509" s="116"/>
      <c r="I509" s="116"/>
    </row>
    <row r="510">
      <c r="A510" s="117">
        <v>46054.930702673606</v>
      </c>
      <c r="B510" s="60" t="s">
        <v>392</v>
      </c>
      <c r="C510" s="60" t="s">
        <v>233</v>
      </c>
      <c r="D510" s="60">
        <v>0.13</v>
      </c>
      <c r="E510" s="60">
        <v>9.0</v>
      </c>
      <c r="F510" s="60">
        <v>1.2</v>
      </c>
      <c r="G510" s="118" t="s">
        <v>503</v>
      </c>
      <c r="H510" s="116"/>
      <c r="I510" s="116"/>
    </row>
    <row r="511">
      <c r="A511" s="117">
        <v>46054.930702673606</v>
      </c>
      <c r="B511" s="60" t="s">
        <v>392</v>
      </c>
      <c r="C511" s="60" t="s">
        <v>273</v>
      </c>
      <c r="D511" s="60">
        <v>0.09</v>
      </c>
      <c r="E511" s="60">
        <v>57.0</v>
      </c>
      <c r="F511" s="60">
        <v>5.1</v>
      </c>
      <c r="G511" s="118" t="s">
        <v>503</v>
      </c>
      <c r="H511" s="116"/>
      <c r="I511" s="116"/>
    </row>
    <row r="512">
      <c r="A512" s="117">
        <v>46054.930702673606</v>
      </c>
      <c r="B512" s="60" t="s">
        <v>392</v>
      </c>
      <c r="C512" s="60" t="s">
        <v>89</v>
      </c>
      <c r="D512" s="60">
        <v>0.13</v>
      </c>
      <c r="E512" s="60">
        <v>29.0</v>
      </c>
      <c r="F512" s="60">
        <v>3.8</v>
      </c>
      <c r="G512" s="118" t="s">
        <v>503</v>
      </c>
      <c r="H512" s="116"/>
      <c r="I512" s="116"/>
    </row>
    <row r="513">
      <c r="A513" s="117">
        <v>46054.930702673606</v>
      </c>
      <c r="B513" s="60" t="s">
        <v>392</v>
      </c>
      <c r="C513" s="60" t="s">
        <v>504</v>
      </c>
      <c r="D513" s="60">
        <v>5.0</v>
      </c>
      <c r="E513" s="60">
        <v>1.0</v>
      </c>
      <c r="F513" s="60">
        <v>5.0</v>
      </c>
      <c r="G513" s="118" t="s">
        <v>503</v>
      </c>
      <c r="H513" s="116"/>
      <c r="I513" s="116"/>
    </row>
    <row r="514">
      <c r="A514" s="117">
        <v>46054.930702673606</v>
      </c>
      <c r="B514" s="60" t="s">
        <v>397</v>
      </c>
      <c r="C514" s="60" t="s">
        <v>115</v>
      </c>
      <c r="D514" s="60">
        <v>0.03</v>
      </c>
      <c r="E514" s="60">
        <v>26.8</v>
      </c>
      <c r="F514" s="60">
        <v>0.8</v>
      </c>
      <c r="G514" s="118" t="s">
        <v>503</v>
      </c>
      <c r="H514" s="116"/>
      <c r="I514" s="116"/>
    </row>
    <row r="515">
      <c r="A515" s="117">
        <v>46054.930702673606</v>
      </c>
      <c r="B515" s="60" t="s">
        <v>392</v>
      </c>
      <c r="C515" s="60" t="s">
        <v>328</v>
      </c>
      <c r="D515" s="60">
        <v>0.07</v>
      </c>
      <c r="E515" s="60">
        <v>21.0</v>
      </c>
      <c r="F515" s="60">
        <v>1.5</v>
      </c>
      <c r="G515" s="118" t="s">
        <v>503</v>
      </c>
      <c r="H515" s="116"/>
      <c r="I515" s="116"/>
    </row>
    <row r="516">
      <c r="A516" s="117">
        <v>46054.930702673606</v>
      </c>
      <c r="B516" s="60" t="s">
        <v>392</v>
      </c>
      <c r="C516" s="60" t="s">
        <v>444</v>
      </c>
      <c r="D516" s="60">
        <v>0.07</v>
      </c>
      <c r="E516" s="60">
        <v>36.4</v>
      </c>
      <c r="F516" s="60">
        <v>2.5</v>
      </c>
      <c r="G516" s="118" t="s">
        <v>503</v>
      </c>
      <c r="H516" s="116"/>
      <c r="I516" s="116"/>
    </row>
    <row r="517">
      <c r="A517" s="117">
        <v>46054.930702673606</v>
      </c>
      <c r="B517" s="60" t="s">
        <v>392</v>
      </c>
      <c r="C517" s="60" t="s">
        <v>152</v>
      </c>
      <c r="D517" s="60">
        <v>0.0</v>
      </c>
      <c r="E517" s="60">
        <v>44.1</v>
      </c>
      <c r="F517" s="60">
        <v>0.0</v>
      </c>
      <c r="G517" s="118" t="s">
        <v>503</v>
      </c>
      <c r="H517" s="116"/>
      <c r="I517" s="116"/>
    </row>
    <row r="518">
      <c r="A518" s="117">
        <v>46054.930702673606</v>
      </c>
      <c r="B518" s="60" t="s">
        <v>392</v>
      </c>
      <c r="C518" s="60" t="s">
        <v>104</v>
      </c>
      <c r="D518" s="60">
        <v>0.05</v>
      </c>
      <c r="E518" s="60">
        <v>27.1</v>
      </c>
      <c r="F518" s="60">
        <v>1.4</v>
      </c>
      <c r="G518" s="118" t="s">
        <v>503</v>
      </c>
      <c r="H518" s="116"/>
      <c r="I518" s="116"/>
    </row>
    <row r="519">
      <c r="A519" s="117">
        <v>46054.930702673606</v>
      </c>
      <c r="B519" s="60" t="s">
        <v>398</v>
      </c>
      <c r="C519" s="60" t="s">
        <v>444</v>
      </c>
      <c r="D519" s="60">
        <v>0.07</v>
      </c>
      <c r="E519" s="60">
        <v>18.0</v>
      </c>
      <c r="F519" s="60">
        <v>1.3</v>
      </c>
      <c r="G519" s="118" t="s">
        <v>503</v>
      </c>
      <c r="H519" s="116"/>
      <c r="I519" s="116"/>
    </row>
    <row r="520">
      <c r="A520" s="117">
        <v>46054.930702673606</v>
      </c>
      <c r="B520" s="60" t="s">
        <v>398</v>
      </c>
      <c r="C520" s="60" t="s">
        <v>104</v>
      </c>
      <c r="D520" s="60">
        <v>0.05</v>
      </c>
      <c r="E520" s="60">
        <v>13.0</v>
      </c>
      <c r="F520" s="60">
        <v>0.7</v>
      </c>
      <c r="G520" s="118" t="s">
        <v>503</v>
      </c>
      <c r="H520" s="116"/>
      <c r="I520" s="116"/>
    </row>
    <row r="521">
      <c r="A521" s="117">
        <v>46054.930702673606</v>
      </c>
      <c r="B521" s="60" t="s">
        <v>395</v>
      </c>
      <c r="C521" s="60" t="s">
        <v>438</v>
      </c>
      <c r="D521" s="60">
        <v>0.0</v>
      </c>
      <c r="E521" s="60">
        <v>10.0</v>
      </c>
      <c r="F521" s="60">
        <v>0.0</v>
      </c>
      <c r="G521" s="118" t="s">
        <v>503</v>
      </c>
      <c r="H521" s="116"/>
      <c r="I521" s="116"/>
    </row>
    <row r="522">
      <c r="A522" s="117">
        <v>46054.930702673606</v>
      </c>
      <c r="B522" s="60" t="s">
        <v>395</v>
      </c>
      <c r="C522" s="60" t="s">
        <v>423</v>
      </c>
      <c r="D522" s="60">
        <v>19.0</v>
      </c>
      <c r="E522" s="60">
        <v>1.0</v>
      </c>
      <c r="F522" s="60">
        <v>19.0</v>
      </c>
      <c r="G522" s="118" t="s">
        <v>503</v>
      </c>
      <c r="H522" s="116"/>
      <c r="I522" s="116"/>
    </row>
    <row r="523">
      <c r="A523" s="117">
        <v>46054.930702673606</v>
      </c>
      <c r="B523" s="60" t="s">
        <v>395</v>
      </c>
      <c r="C523" s="60" t="s">
        <v>213</v>
      </c>
      <c r="D523" s="60">
        <v>0.0</v>
      </c>
      <c r="E523" s="60">
        <v>10.0</v>
      </c>
      <c r="F523" s="60">
        <v>0.0</v>
      </c>
      <c r="G523" s="118" t="s">
        <v>503</v>
      </c>
      <c r="H523" s="116"/>
      <c r="I523" s="116"/>
    </row>
    <row r="524">
      <c r="A524" s="117">
        <v>46054.930702673606</v>
      </c>
      <c r="B524" s="60" t="s">
        <v>395</v>
      </c>
      <c r="C524" s="60" t="s">
        <v>104</v>
      </c>
      <c r="D524" s="60">
        <v>0.05</v>
      </c>
      <c r="E524" s="60">
        <v>10.0</v>
      </c>
      <c r="F524" s="60">
        <v>0.5</v>
      </c>
      <c r="G524" s="118" t="s">
        <v>503</v>
      </c>
      <c r="H524" s="116"/>
      <c r="I524" s="116"/>
    </row>
    <row r="525">
      <c r="A525" s="117">
        <v>46054.930702673606</v>
      </c>
      <c r="B525" s="60" t="s">
        <v>395</v>
      </c>
      <c r="C525" s="60" t="s">
        <v>205</v>
      </c>
      <c r="D525" s="60">
        <v>0.08</v>
      </c>
      <c r="E525" s="60">
        <v>40.0</v>
      </c>
      <c r="F525" s="60">
        <v>3.2</v>
      </c>
      <c r="G525" s="118" t="s">
        <v>503</v>
      </c>
      <c r="H525" s="116"/>
      <c r="I525" s="116"/>
    </row>
    <row r="526">
      <c r="A526" s="117">
        <v>46054.930702673606</v>
      </c>
      <c r="B526" s="60" t="s">
        <v>395</v>
      </c>
      <c r="C526" s="60" t="s">
        <v>163</v>
      </c>
      <c r="D526" s="60">
        <v>0.03</v>
      </c>
      <c r="E526" s="60">
        <v>17.0</v>
      </c>
      <c r="F526" s="60">
        <v>0.5</v>
      </c>
      <c r="G526" s="118" t="s">
        <v>503</v>
      </c>
      <c r="H526" s="116"/>
      <c r="I526" s="116"/>
    </row>
    <row r="527">
      <c r="A527" s="117">
        <v>46053.93070896991</v>
      </c>
      <c r="B527" s="60" t="s">
        <v>392</v>
      </c>
      <c r="C527" s="60" t="s">
        <v>170</v>
      </c>
      <c r="D527" s="60">
        <v>0.0</v>
      </c>
      <c r="E527" s="60">
        <v>2.5</v>
      </c>
      <c r="F527" s="60">
        <v>0.0</v>
      </c>
      <c r="G527" s="118" t="s">
        <v>505</v>
      </c>
      <c r="H527" s="116"/>
      <c r="I527" s="116"/>
    </row>
    <row r="528">
      <c r="A528" s="117">
        <v>46053.93070896991</v>
      </c>
      <c r="B528" s="60" t="s">
        <v>392</v>
      </c>
      <c r="C528" s="60" t="s">
        <v>429</v>
      </c>
      <c r="D528" s="60">
        <v>10.0</v>
      </c>
      <c r="E528" s="60">
        <v>1.0</v>
      </c>
      <c r="F528" s="60">
        <v>10.0</v>
      </c>
      <c r="G528" s="118" t="s">
        <v>505</v>
      </c>
      <c r="H528" s="116"/>
      <c r="I528" s="116"/>
    </row>
    <row r="529">
      <c r="A529" s="117">
        <v>46053.93070896991</v>
      </c>
      <c r="B529" s="60" t="s">
        <v>392</v>
      </c>
      <c r="C529" s="60" t="s">
        <v>212</v>
      </c>
      <c r="D529" s="60">
        <v>0.33</v>
      </c>
      <c r="E529" s="60">
        <v>12.0</v>
      </c>
      <c r="F529" s="60">
        <v>4.0</v>
      </c>
      <c r="G529" s="118" t="s">
        <v>505</v>
      </c>
      <c r="H529" s="116"/>
      <c r="I529" s="116"/>
    </row>
    <row r="530">
      <c r="A530" s="117">
        <v>46053.93070896991</v>
      </c>
      <c r="B530" s="60" t="s">
        <v>392</v>
      </c>
      <c r="C530" s="60" t="s">
        <v>273</v>
      </c>
      <c r="D530" s="60">
        <v>0.09</v>
      </c>
      <c r="E530" s="60">
        <v>45.0</v>
      </c>
      <c r="F530" s="60">
        <v>4.1</v>
      </c>
      <c r="G530" s="118" t="s">
        <v>505</v>
      </c>
      <c r="H530" s="116"/>
      <c r="I530" s="116"/>
    </row>
    <row r="531">
      <c r="A531" s="117">
        <v>46053.93070896991</v>
      </c>
      <c r="B531" s="60" t="s">
        <v>392</v>
      </c>
      <c r="C531" s="60" t="s">
        <v>218</v>
      </c>
      <c r="D531" s="60">
        <v>0.08</v>
      </c>
      <c r="E531" s="60">
        <v>60.0</v>
      </c>
      <c r="F531" s="60">
        <v>4.8</v>
      </c>
      <c r="G531" s="118" t="s">
        <v>505</v>
      </c>
      <c r="H531" s="116"/>
      <c r="I531" s="116"/>
    </row>
    <row r="532">
      <c r="A532" s="117">
        <v>46053.93070896991</v>
      </c>
      <c r="B532" s="60" t="s">
        <v>397</v>
      </c>
      <c r="C532" s="60" t="s">
        <v>87</v>
      </c>
      <c r="D532" s="60">
        <v>0.27</v>
      </c>
      <c r="E532" s="60">
        <v>110.0</v>
      </c>
      <c r="F532" s="60">
        <v>29.7</v>
      </c>
      <c r="G532" s="118" t="s">
        <v>505</v>
      </c>
      <c r="H532" s="116"/>
      <c r="I532" s="116"/>
    </row>
    <row r="533">
      <c r="A533" s="117">
        <v>46053.93070896991</v>
      </c>
      <c r="B533" s="60" t="s">
        <v>397</v>
      </c>
      <c r="C533" s="60" t="s">
        <v>328</v>
      </c>
      <c r="D533" s="60">
        <v>0.07</v>
      </c>
      <c r="E533" s="60">
        <v>21.0</v>
      </c>
      <c r="F533" s="60">
        <v>1.5</v>
      </c>
      <c r="G533" s="118" t="s">
        <v>505</v>
      </c>
      <c r="H533" s="116"/>
      <c r="I533" s="116"/>
    </row>
    <row r="534">
      <c r="A534" s="117">
        <v>46053.93070896991</v>
      </c>
      <c r="B534" s="60" t="s">
        <v>395</v>
      </c>
      <c r="C534" s="60" t="s">
        <v>417</v>
      </c>
      <c r="D534" s="60">
        <v>0.07</v>
      </c>
      <c r="E534" s="60">
        <v>180.0</v>
      </c>
      <c r="F534" s="60">
        <v>13.0</v>
      </c>
      <c r="G534" s="118" t="s">
        <v>505</v>
      </c>
      <c r="H534" s="116"/>
      <c r="I534" s="116"/>
    </row>
    <row r="535">
      <c r="A535" s="117">
        <v>46053.93070896991</v>
      </c>
      <c r="B535" s="60" t="s">
        <v>395</v>
      </c>
      <c r="C535" s="60" t="s">
        <v>506</v>
      </c>
      <c r="D535" s="60">
        <v>3.0</v>
      </c>
      <c r="E535" s="60">
        <v>1.0</v>
      </c>
      <c r="F535" s="60">
        <v>3.0</v>
      </c>
      <c r="G535" s="118" t="s">
        <v>505</v>
      </c>
      <c r="H535" s="116"/>
      <c r="I535" s="116"/>
    </row>
    <row r="536">
      <c r="A536" s="117">
        <v>46052.93070626157</v>
      </c>
      <c r="B536" s="60" t="s">
        <v>392</v>
      </c>
      <c r="C536" s="60" t="s">
        <v>429</v>
      </c>
      <c r="D536" s="60">
        <v>10.0</v>
      </c>
      <c r="E536" s="60">
        <v>1.5</v>
      </c>
      <c r="F536" s="60">
        <v>15.0</v>
      </c>
      <c r="G536" s="118" t="s">
        <v>507</v>
      </c>
      <c r="H536" s="116"/>
      <c r="I536" s="116"/>
    </row>
    <row r="537">
      <c r="A537" s="117">
        <v>46052.93070626157</v>
      </c>
      <c r="B537" s="60" t="s">
        <v>392</v>
      </c>
      <c r="C537" s="60" t="s">
        <v>233</v>
      </c>
      <c r="D537" s="60">
        <v>0.13</v>
      </c>
      <c r="E537" s="60">
        <v>18.0</v>
      </c>
      <c r="F537" s="60">
        <v>2.3</v>
      </c>
      <c r="G537" s="118" t="s">
        <v>507</v>
      </c>
      <c r="H537" s="116"/>
      <c r="I537" s="116"/>
    </row>
    <row r="538">
      <c r="A538" s="117">
        <v>46052.93070626157</v>
      </c>
      <c r="B538" s="60" t="s">
        <v>392</v>
      </c>
      <c r="C538" s="60" t="s">
        <v>294</v>
      </c>
      <c r="D538" s="60">
        <v>0.05</v>
      </c>
      <c r="E538" s="60">
        <v>45.0</v>
      </c>
      <c r="F538" s="60">
        <v>2.3</v>
      </c>
      <c r="G538" s="118" t="s">
        <v>507</v>
      </c>
      <c r="H538" s="116"/>
      <c r="I538" s="116"/>
    </row>
    <row r="539">
      <c r="A539" s="117">
        <v>46052.93070626157</v>
      </c>
      <c r="B539" s="60" t="s">
        <v>392</v>
      </c>
      <c r="C539" s="60" t="s">
        <v>89</v>
      </c>
      <c r="D539" s="60">
        <v>0.13</v>
      </c>
      <c r="E539" s="60">
        <v>50.0</v>
      </c>
      <c r="F539" s="60">
        <v>6.5</v>
      </c>
      <c r="G539" s="118" t="s">
        <v>507</v>
      </c>
      <c r="H539" s="116"/>
      <c r="I539" s="116"/>
    </row>
    <row r="540">
      <c r="A540" s="117">
        <v>46052.93070626157</v>
      </c>
      <c r="B540" s="60" t="s">
        <v>395</v>
      </c>
      <c r="C540" s="60" t="s">
        <v>133</v>
      </c>
      <c r="D540" s="60">
        <v>0.22</v>
      </c>
      <c r="E540" s="60">
        <v>90.0</v>
      </c>
      <c r="F540" s="60">
        <v>19.8</v>
      </c>
      <c r="G540" s="118" t="s">
        <v>507</v>
      </c>
      <c r="H540" s="116"/>
      <c r="I540" s="116"/>
    </row>
    <row r="541">
      <c r="A541" s="117">
        <v>46052.93070626157</v>
      </c>
      <c r="B541" s="60" t="s">
        <v>395</v>
      </c>
      <c r="C541" s="60" t="s">
        <v>443</v>
      </c>
      <c r="D541" s="60">
        <v>0.15</v>
      </c>
      <c r="E541" s="60">
        <v>5.0</v>
      </c>
      <c r="F541" s="60">
        <v>0.8</v>
      </c>
      <c r="G541" s="118" t="s">
        <v>507</v>
      </c>
      <c r="H541" s="116"/>
      <c r="I541" s="116"/>
    </row>
    <row r="542">
      <c r="A542" s="117">
        <v>46052.93070626157</v>
      </c>
      <c r="B542" s="60" t="s">
        <v>395</v>
      </c>
      <c r="C542" s="60" t="s">
        <v>444</v>
      </c>
      <c r="D542" s="60">
        <v>0.05</v>
      </c>
      <c r="E542" s="60">
        <v>40.0</v>
      </c>
      <c r="F542" s="60">
        <v>2.0</v>
      </c>
      <c r="G542" s="118" t="s">
        <v>507</v>
      </c>
      <c r="H542" s="116"/>
      <c r="I542" s="116"/>
    </row>
    <row r="543">
      <c r="A543" s="117">
        <v>46052.93070626157</v>
      </c>
      <c r="B543" s="60" t="s">
        <v>395</v>
      </c>
      <c r="C543" s="60" t="s">
        <v>508</v>
      </c>
      <c r="D543" s="60">
        <v>2.0</v>
      </c>
      <c r="E543" s="60">
        <v>1.0</v>
      </c>
      <c r="F543" s="60">
        <v>2.0</v>
      </c>
      <c r="G543" s="118" t="s">
        <v>507</v>
      </c>
      <c r="H543" s="116"/>
      <c r="I543" s="116"/>
    </row>
    <row r="544">
      <c r="A544" s="117">
        <v>46052.93070626157</v>
      </c>
      <c r="B544" s="60" t="s">
        <v>395</v>
      </c>
      <c r="C544" s="60" t="s">
        <v>456</v>
      </c>
      <c r="D544" s="60">
        <v>0.66</v>
      </c>
      <c r="E544" s="60">
        <v>3.0</v>
      </c>
      <c r="F544" s="60">
        <v>2.0</v>
      </c>
      <c r="G544" s="118" t="s">
        <v>507</v>
      </c>
      <c r="H544" s="116"/>
      <c r="I544" s="116"/>
    </row>
    <row r="545">
      <c r="A545" s="117">
        <v>46052.93070626157</v>
      </c>
      <c r="B545" s="60" t="s">
        <v>395</v>
      </c>
      <c r="C545" s="60" t="s">
        <v>322</v>
      </c>
      <c r="D545" s="60">
        <v>0.05</v>
      </c>
      <c r="E545" s="60">
        <v>20.0</v>
      </c>
      <c r="F545" s="60">
        <v>1.0</v>
      </c>
      <c r="G545" s="118" t="s">
        <v>507</v>
      </c>
      <c r="H545" s="116"/>
      <c r="I545" s="116"/>
    </row>
    <row r="546">
      <c r="A546" s="117">
        <v>46052.93070626157</v>
      </c>
      <c r="B546" s="60" t="s">
        <v>395</v>
      </c>
      <c r="C546" s="60" t="s">
        <v>328</v>
      </c>
      <c r="D546" s="60">
        <v>0.07</v>
      </c>
      <c r="E546" s="60">
        <v>14.0</v>
      </c>
      <c r="F546" s="60">
        <v>1.0</v>
      </c>
      <c r="G546" s="118" t="s">
        <v>507</v>
      </c>
      <c r="H546" s="116"/>
      <c r="I546" s="116"/>
    </row>
    <row r="547">
      <c r="A547" s="117">
        <v>46051.93074831019</v>
      </c>
      <c r="B547" s="60" t="s">
        <v>392</v>
      </c>
      <c r="C547" s="60" t="s">
        <v>429</v>
      </c>
      <c r="D547" s="60">
        <v>10.0</v>
      </c>
      <c r="E547" s="60">
        <v>1.5</v>
      </c>
      <c r="F547" s="60">
        <v>15.0</v>
      </c>
      <c r="G547" s="118" t="s">
        <v>509</v>
      </c>
      <c r="H547" s="116"/>
      <c r="I547" s="116"/>
    </row>
    <row r="548">
      <c r="A548" s="117">
        <v>46051.93074831019</v>
      </c>
      <c r="B548" s="60" t="s">
        <v>392</v>
      </c>
      <c r="C548" s="60" t="s">
        <v>233</v>
      </c>
      <c r="D548" s="60">
        <v>0.13</v>
      </c>
      <c r="E548" s="60">
        <v>18.0</v>
      </c>
      <c r="F548" s="60">
        <v>2.3</v>
      </c>
      <c r="G548" s="118" t="s">
        <v>509</v>
      </c>
      <c r="H548" s="116"/>
      <c r="I548" s="116"/>
    </row>
    <row r="549">
      <c r="A549" s="117">
        <v>46051.93074831019</v>
      </c>
      <c r="B549" s="60" t="s">
        <v>392</v>
      </c>
      <c r="C549" s="60" t="s">
        <v>89</v>
      </c>
      <c r="D549" s="60">
        <v>0.13</v>
      </c>
      <c r="E549" s="60">
        <v>45.0</v>
      </c>
      <c r="F549" s="60">
        <v>5.9</v>
      </c>
      <c r="G549" s="118" t="s">
        <v>509</v>
      </c>
      <c r="H549" s="116"/>
      <c r="I549" s="116"/>
    </row>
    <row r="550">
      <c r="A550" s="117">
        <v>46051.93074831019</v>
      </c>
      <c r="B550" s="60" t="s">
        <v>392</v>
      </c>
      <c r="C550" s="60" t="s">
        <v>325</v>
      </c>
      <c r="D550" s="60">
        <v>0.05</v>
      </c>
      <c r="E550" s="60">
        <v>70.0</v>
      </c>
      <c r="F550" s="60">
        <v>3.5</v>
      </c>
      <c r="G550" s="118" t="s">
        <v>509</v>
      </c>
      <c r="H550" s="116"/>
      <c r="I550" s="116"/>
    </row>
    <row r="551">
      <c r="A551" s="117">
        <v>46051.93074831019</v>
      </c>
      <c r="B551" s="60" t="s">
        <v>397</v>
      </c>
      <c r="C551" s="60" t="s">
        <v>104</v>
      </c>
      <c r="D551" s="60">
        <v>0.05</v>
      </c>
      <c r="E551" s="60">
        <v>28.0</v>
      </c>
      <c r="F551" s="60">
        <v>1.4</v>
      </c>
      <c r="G551" s="118" t="s">
        <v>509</v>
      </c>
      <c r="H551" s="116"/>
      <c r="I551" s="116"/>
    </row>
    <row r="552">
      <c r="A552" s="117">
        <v>46051.93074831019</v>
      </c>
      <c r="B552" s="60" t="s">
        <v>397</v>
      </c>
      <c r="C552" s="60" t="s">
        <v>444</v>
      </c>
      <c r="D552" s="60">
        <v>0.07</v>
      </c>
      <c r="E552" s="60">
        <v>28.0</v>
      </c>
      <c r="F552" s="60">
        <v>2.0</v>
      </c>
      <c r="G552" s="118" t="s">
        <v>509</v>
      </c>
      <c r="H552" s="116"/>
      <c r="I552" s="116"/>
    </row>
    <row r="553">
      <c r="A553" s="117">
        <v>46051.93074831019</v>
      </c>
      <c r="B553" s="60" t="s">
        <v>395</v>
      </c>
      <c r="C553" s="60" t="s">
        <v>423</v>
      </c>
      <c r="D553" s="60">
        <v>19.0</v>
      </c>
      <c r="E553" s="60">
        <v>1.0</v>
      </c>
      <c r="F553" s="60">
        <v>19.0</v>
      </c>
      <c r="G553" s="118" t="s">
        <v>509</v>
      </c>
      <c r="H553" s="116"/>
      <c r="I553" s="116"/>
    </row>
    <row r="554">
      <c r="A554" s="117">
        <v>46051.93074831019</v>
      </c>
      <c r="B554" s="60" t="s">
        <v>395</v>
      </c>
      <c r="C554" s="60" t="s">
        <v>430</v>
      </c>
      <c r="D554" s="60">
        <v>2.5</v>
      </c>
      <c r="E554" s="60">
        <v>1.3</v>
      </c>
      <c r="F554" s="60">
        <v>3.3</v>
      </c>
      <c r="G554" s="118" t="s">
        <v>509</v>
      </c>
      <c r="H554" s="116"/>
      <c r="I554" s="116"/>
    </row>
    <row r="555">
      <c r="A555" s="117">
        <v>46051.93074831019</v>
      </c>
      <c r="B555" s="60" t="s">
        <v>395</v>
      </c>
      <c r="C555" s="60" t="s">
        <v>111</v>
      </c>
      <c r="D555" s="60">
        <v>0.12</v>
      </c>
      <c r="E555" s="60">
        <v>45.0</v>
      </c>
      <c r="F555" s="60">
        <v>5.4</v>
      </c>
      <c r="G555" s="118" t="s">
        <v>509</v>
      </c>
      <c r="H555" s="116"/>
      <c r="I555" s="116"/>
    </row>
    <row r="556">
      <c r="A556" s="117">
        <v>46051.93074831019</v>
      </c>
      <c r="B556" s="60" t="s">
        <v>395</v>
      </c>
      <c r="C556" s="60" t="s">
        <v>206</v>
      </c>
      <c r="D556" s="60">
        <v>0.08</v>
      </c>
      <c r="E556" s="60">
        <v>33.0</v>
      </c>
      <c r="F556" s="60">
        <v>2.6</v>
      </c>
      <c r="G556" s="118" t="s">
        <v>509</v>
      </c>
      <c r="H556" s="116"/>
      <c r="I556" s="116"/>
    </row>
    <row r="557">
      <c r="A557" s="117">
        <v>46050.93074928241</v>
      </c>
      <c r="B557" s="60" t="s">
        <v>392</v>
      </c>
      <c r="C557" s="60" t="s">
        <v>463</v>
      </c>
      <c r="D557" s="60">
        <v>12.0</v>
      </c>
      <c r="E557" s="60">
        <v>1.0</v>
      </c>
      <c r="F557" s="60">
        <v>12.0</v>
      </c>
      <c r="G557" s="118" t="s">
        <v>510</v>
      </c>
      <c r="H557" s="116"/>
      <c r="I557" s="116"/>
    </row>
    <row r="558">
      <c r="A558" s="117">
        <v>46050.93074928241</v>
      </c>
      <c r="B558" s="60" t="s">
        <v>392</v>
      </c>
      <c r="C558" s="60" t="s">
        <v>89</v>
      </c>
      <c r="D558" s="60">
        <v>0.13</v>
      </c>
      <c r="E558" s="60">
        <v>50.0</v>
      </c>
      <c r="F558" s="60">
        <v>6.5</v>
      </c>
      <c r="G558" s="118" t="s">
        <v>510</v>
      </c>
      <c r="H558" s="116"/>
      <c r="I558" s="116"/>
    </row>
    <row r="559">
      <c r="A559" s="117">
        <v>46050.93074928241</v>
      </c>
      <c r="B559" s="60" t="s">
        <v>392</v>
      </c>
      <c r="C559" s="60" t="s">
        <v>170</v>
      </c>
      <c r="D559" s="60">
        <v>0.0</v>
      </c>
      <c r="E559" s="60">
        <v>2.5</v>
      </c>
      <c r="F559" s="60">
        <v>0.0</v>
      </c>
      <c r="G559" s="118" t="s">
        <v>510</v>
      </c>
      <c r="H559" s="116"/>
      <c r="I559" s="116"/>
    </row>
    <row r="560">
      <c r="A560" s="117">
        <v>46050.93074928241</v>
      </c>
      <c r="B560" s="60" t="s">
        <v>392</v>
      </c>
      <c r="C560" s="60" t="s">
        <v>212</v>
      </c>
      <c r="D560" s="60">
        <v>0.33</v>
      </c>
      <c r="E560" s="60">
        <v>10.0</v>
      </c>
      <c r="F560" s="60">
        <v>3.3</v>
      </c>
      <c r="G560" s="118" t="s">
        <v>510</v>
      </c>
      <c r="H560" s="116"/>
      <c r="I560" s="116"/>
    </row>
    <row r="561">
      <c r="A561" s="117">
        <v>46050.93074928241</v>
      </c>
      <c r="B561" s="60" t="s">
        <v>398</v>
      </c>
      <c r="C561" s="60" t="s">
        <v>111</v>
      </c>
      <c r="D561" s="60">
        <v>0.12</v>
      </c>
      <c r="E561" s="60">
        <v>42.0</v>
      </c>
      <c r="F561" s="60">
        <v>2.5</v>
      </c>
      <c r="G561" s="118" t="s">
        <v>510</v>
      </c>
      <c r="H561" s="116"/>
      <c r="I561" s="116"/>
    </row>
    <row r="562">
      <c r="A562" s="117">
        <v>46050.93074928241</v>
      </c>
      <c r="B562" s="60" t="s">
        <v>398</v>
      </c>
      <c r="C562" s="60" t="s">
        <v>111</v>
      </c>
      <c r="D562" s="60">
        <v>0.12</v>
      </c>
      <c r="E562" s="60">
        <v>42.0</v>
      </c>
      <c r="F562" s="60">
        <v>5.0</v>
      </c>
      <c r="G562" s="118" t="s">
        <v>510</v>
      </c>
      <c r="H562" s="116"/>
      <c r="I562" s="116"/>
    </row>
    <row r="563">
      <c r="A563" s="117">
        <v>46050.93074928241</v>
      </c>
      <c r="B563" s="60" t="s">
        <v>395</v>
      </c>
      <c r="C563" s="60" t="s">
        <v>417</v>
      </c>
      <c r="D563" s="60">
        <v>0.08</v>
      </c>
      <c r="E563" s="60">
        <v>150.0</v>
      </c>
      <c r="F563" s="60">
        <v>11.66</v>
      </c>
      <c r="G563" s="118" t="s">
        <v>510</v>
      </c>
      <c r="H563" s="116"/>
      <c r="I563" s="116"/>
    </row>
    <row r="564">
      <c r="A564" s="117">
        <v>46050.93074928241</v>
      </c>
      <c r="B564" s="60" t="s">
        <v>395</v>
      </c>
      <c r="C564" s="60" t="s">
        <v>442</v>
      </c>
      <c r="D564" s="60">
        <v>8.0</v>
      </c>
      <c r="E564" s="60">
        <v>1.5</v>
      </c>
      <c r="F564" s="60">
        <v>12.0</v>
      </c>
      <c r="G564" s="118" t="s">
        <v>510</v>
      </c>
      <c r="H564" s="116"/>
      <c r="I564" s="116"/>
    </row>
    <row r="565">
      <c r="A565" s="117">
        <v>46050.93074928241</v>
      </c>
      <c r="B565" s="60" t="s">
        <v>395</v>
      </c>
      <c r="C565" s="60" t="s">
        <v>328</v>
      </c>
      <c r="D565" s="60">
        <v>0.07</v>
      </c>
      <c r="E565" s="60">
        <v>14.0</v>
      </c>
      <c r="F565" s="60">
        <v>1.0</v>
      </c>
      <c r="G565" s="118" t="s">
        <v>510</v>
      </c>
      <c r="H565" s="116"/>
      <c r="I565" s="116"/>
    </row>
    <row r="566">
      <c r="A566" s="117">
        <v>46050.93074928241</v>
      </c>
      <c r="B566" s="60" t="s">
        <v>395</v>
      </c>
      <c r="C566" s="60" t="s">
        <v>426</v>
      </c>
      <c r="D566" s="60">
        <v>1.0</v>
      </c>
      <c r="E566" s="60">
        <v>5.0</v>
      </c>
      <c r="F566" s="60">
        <v>4.5</v>
      </c>
      <c r="G566" s="118" t="s">
        <v>510</v>
      </c>
      <c r="H566" s="116"/>
      <c r="I566" s="116"/>
    </row>
    <row r="567">
      <c r="A567" s="117">
        <v>46050.93074928241</v>
      </c>
      <c r="B567" s="60" t="s">
        <v>399</v>
      </c>
      <c r="C567" s="60" t="s">
        <v>294</v>
      </c>
      <c r="D567" s="60">
        <v>0.05</v>
      </c>
      <c r="E567" s="60">
        <v>52.0</v>
      </c>
      <c r="F567" s="60">
        <v>2.6</v>
      </c>
      <c r="G567" s="118" t="s">
        <v>510</v>
      </c>
      <c r="H567" s="116"/>
      <c r="I567" s="116"/>
    </row>
    <row r="568">
      <c r="A568" s="117">
        <v>46049.952255</v>
      </c>
      <c r="B568" s="60" t="s">
        <v>392</v>
      </c>
      <c r="C568" s="60" t="s">
        <v>170</v>
      </c>
      <c r="D568" s="60">
        <v>0.0</v>
      </c>
      <c r="E568" s="60">
        <v>2.5</v>
      </c>
      <c r="F568" s="60">
        <v>0.0</v>
      </c>
      <c r="G568" s="118" t="s">
        <v>511</v>
      </c>
      <c r="H568" s="116"/>
      <c r="I568" s="116"/>
    </row>
    <row r="569">
      <c r="A569" s="117">
        <v>46049.952255</v>
      </c>
      <c r="B569" s="60" t="s">
        <v>392</v>
      </c>
      <c r="C569" s="60" t="s">
        <v>212</v>
      </c>
      <c r="D569" s="60">
        <v>0.33</v>
      </c>
      <c r="E569" s="60">
        <v>10.0</v>
      </c>
      <c r="F569" s="60">
        <v>3.3</v>
      </c>
      <c r="G569" s="118" t="s">
        <v>511</v>
      </c>
      <c r="H569" s="116"/>
      <c r="I569" s="116"/>
    </row>
    <row r="570">
      <c r="A570" s="117">
        <v>46049.952255</v>
      </c>
      <c r="B570" s="60" t="s">
        <v>392</v>
      </c>
      <c r="C570" s="60" t="s">
        <v>429</v>
      </c>
      <c r="D570" s="60">
        <v>10.0</v>
      </c>
      <c r="E570" s="60">
        <v>1.0</v>
      </c>
      <c r="F570" s="60">
        <v>10.0</v>
      </c>
      <c r="G570" s="118" t="s">
        <v>511</v>
      </c>
      <c r="H570" s="116"/>
      <c r="I570" s="116"/>
    </row>
    <row r="571">
      <c r="A571" s="117">
        <v>46049.952255</v>
      </c>
      <c r="B571" s="60" t="s">
        <v>392</v>
      </c>
      <c r="C571" s="60" t="s">
        <v>294</v>
      </c>
      <c r="D571" s="60">
        <v>0.05</v>
      </c>
      <c r="E571" s="60">
        <v>52.0</v>
      </c>
      <c r="F571" s="60">
        <v>2.6</v>
      </c>
      <c r="G571" s="118" t="s">
        <v>511</v>
      </c>
      <c r="H571" s="116"/>
      <c r="I571" s="116"/>
    </row>
    <row r="572">
      <c r="A572" s="117">
        <v>46049.952255</v>
      </c>
      <c r="B572" s="60" t="s">
        <v>392</v>
      </c>
      <c r="C572" s="60" t="s">
        <v>512</v>
      </c>
      <c r="D572" s="60">
        <v>0.17</v>
      </c>
      <c r="E572" s="60">
        <v>50.0</v>
      </c>
      <c r="F572" s="60">
        <v>8.5</v>
      </c>
      <c r="G572" s="118" t="s">
        <v>511</v>
      </c>
      <c r="H572" s="116"/>
      <c r="I572" s="116"/>
    </row>
    <row r="573">
      <c r="A573" s="117">
        <v>46049.952255</v>
      </c>
      <c r="B573" s="60" t="s">
        <v>395</v>
      </c>
      <c r="C573" s="60" t="s">
        <v>439</v>
      </c>
      <c r="D573" s="60">
        <v>0.31</v>
      </c>
      <c r="E573" s="60">
        <v>70.0</v>
      </c>
      <c r="F573" s="60">
        <v>21.7</v>
      </c>
      <c r="G573" s="118" t="s">
        <v>511</v>
      </c>
      <c r="H573" s="116"/>
      <c r="I573" s="116"/>
    </row>
    <row r="574">
      <c r="A574" s="117">
        <v>46049.952255</v>
      </c>
      <c r="B574" s="60" t="s">
        <v>395</v>
      </c>
      <c r="C574" s="60" t="s">
        <v>462</v>
      </c>
      <c r="D574" s="60">
        <v>0.02</v>
      </c>
      <c r="E574" s="60">
        <v>80.0</v>
      </c>
      <c r="F574" s="60">
        <v>1.6</v>
      </c>
      <c r="G574" s="118" t="s">
        <v>511</v>
      </c>
      <c r="H574" s="116"/>
      <c r="I574" s="116"/>
    </row>
    <row r="575">
      <c r="A575" s="117">
        <v>46049.952255</v>
      </c>
      <c r="B575" s="60" t="s">
        <v>395</v>
      </c>
      <c r="C575" s="60" t="s">
        <v>438</v>
      </c>
      <c r="D575" s="60">
        <v>0.0</v>
      </c>
      <c r="E575" s="60">
        <v>50.0</v>
      </c>
      <c r="F575" s="60">
        <v>0.0</v>
      </c>
      <c r="G575" s="118" t="s">
        <v>511</v>
      </c>
      <c r="H575" s="116"/>
      <c r="I575" s="116"/>
    </row>
    <row r="576">
      <c r="A576" s="117">
        <v>46049.952255</v>
      </c>
      <c r="B576" s="60" t="s">
        <v>395</v>
      </c>
      <c r="C576" s="60" t="s">
        <v>513</v>
      </c>
      <c r="D576" s="60">
        <v>3.5</v>
      </c>
      <c r="E576" s="60">
        <v>1.0</v>
      </c>
      <c r="F576" s="60">
        <v>3.5</v>
      </c>
      <c r="G576" s="118" t="s">
        <v>511</v>
      </c>
      <c r="H576" s="116"/>
      <c r="I576" s="116"/>
    </row>
    <row r="577">
      <c r="A577" s="117">
        <v>46049.952255</v>
      </c>
      <c r="B577" s="60" t="s">
        <v>395</v>
      </c>
      <c r="C577" s="60" t="s">
        <v>129</v>
      </c>
      <c r="D577" s="60">
        <v>0.26</v>
      </c>
      <c r="E577" s="60">
        <v>12.0</v>
      </c>
      <c r="F577" s="60">
        <v>3.1</v>
      </c>
      <c r="G577" s="118" t="s">
        <v>511</v>
      </c>
      <c r="H577" s="116"/>
      <c r="I577" s="116"/>
    </row>
    <row r="578">
      <c r="A578" s="117">
        <v>46048.95224115741</v>
      </c>
      <c r="B578" s="60" t="s">
        <v>392</v>
      </c>
      <c r="C578" s="60" t="s">
        <v>429</v>
      </c>
      <c r="D578" s="60">
        <v>10.0</v>
      </c>
      <c r="E578" s="60">
        <v>1.5</v>
      </c>
      <c r="F578" s="60">
        <v>15.0</v>
      </c>
      <c r="G578" s="118" t="s">
        <v>514</v>
      </c>
      <c r="H578" s="116"/>
      <c r="I578" s="116"/>
    </row>
    <row r="579">
      <c r="A579" s="117">
        <v>46048.95224115741</v>
      </c>
      <c r="B579" s="60" t="s">
        <v>392</v>
      </c>
      <c r="C579" s="60" t="s">
        <v>273</v>
      </c>
      <c r="D579" s="60">
        <v>0.09</v>
      </c>
      <c r="E579" s="60">
        <v>77.0</v>
      </c>
      <c r="F579" s="60">
        <v>6.9</v>
      </c>
      <c r="G579" s="118" t="s">
        <v>514</v>
      </c>
      <c r="H579" s="116"/>
      <c r="I579" s="116"/>
    </row>
    <row r="580">
      <c r="A580" s="117">
        <v>46048.95224115741</v>
      </c>
      <c r="B580" s="60" t="s">
        <v>392</v>
      </c>
      <c r="C580" s="60" t="s">
        <v>233</v>
      </c>
      <c r="D580" s="60">
        <v>0.13</v>
      </c>
      <c r="E580" s="60">
        <v>27.0</v>
      </c>
      <c r="F580" s="60">
        <v>3.5</v>
      </c>
      <c r="G580" s="118" t="s">
        <v>514</v>
      </c>
      <c r="H580" s="116"/>
      <c r="I580" s="116"/>
    </row>
    <row r="581">
      <c r="A581" s="117">
        <v>46048.95224115741</v>
      </c>
      <c r="B581" s="60" t="s">
        <v>394</v>
      </c>
      <c r="C581" s="60" t="s">
        <v>89</v>
      </c>
      <c r="D581" s="60">
        <v>0.13</v>
      </c>
      <c r="E581" s="60">
        <v>75.0</v>
      </c>
      <c r="F581" s="60">
        <v>9.8</v>
      </c>
      <c r="G581" s="118" t="s">
        <v>514</v>
      </c>
      <c r="H581" s="116"/>
      <c r="I581" s="116"/>
    </row>
    <row r="582">
      <c r="A582" s="117">
        <v>46048.95224115741</v>
      </c>
      <c r="B582" s="60" t="s">
        <v>398</v>
      </c>
      <c r="C582" s="60" t="s">
        <v>444</v>
      </c>
      <c r="D582" s="60">
        <v>0.07</v>
      </c>
      <c r="E582" s="60">
        <v>33.0</v>
      </c>
      <c r="F582" s="60">
        <v>2.3</v>
      </c>
      <c r="G582" s="118" t="s">
        <v>514</v>
      </c>
      <c r="H582" s="116"/>
      <c r="I582" s="116"/>
    </row>
    <row r="583">
      <c r="A583" s="117">
        <v>46048.95224115741</v>
      </c>
      <c r="B583" s="60" t="s">
        <v>395</v>
      </c>
      <c r="C583" s="60" t="s">
        <v>468</v>
      </c>
      <c r="D583" s="60">
        <v>0.27</v>
      </c>
      <c r="E583" s="60">
        <v>110.0</v>
      </c>
      <c r="F583" s="60">
        <v>29.7</v>
      </c>
      <c r="G583" s="118" t="s">
        <v>514</v>
      </c>
      <c r="H583" s="116"/>
      <c r="I583" s="116"/>
    </row>
    <row r="584">
      <c r="A584" s="117">
        <v>46048.95224115741</v>
      </c>
      <c r="B584" s="60" t="s">
        <v>395</v>
      </c>
      <c r="C584" s="60" t="s">
        <v>340</v>
      </c>
      <c r="D584" s="60">
        <v>0.02</v>
      </c>
      <c r="E584" s="60">
        <v>70.0</v>
      </c>
      <c r="F584" s="60">
        <v>1.4</v>
      </c>
      <c r="G584" s="118" t="s">
        <v>514</v>
      </c>
      <c r="H584" s="116"/>
      <c r="I584" s="116"/>
    </row>
    <row r="585">
      <c r="A585" s="117">
        <v>46048.95224115741</v>
      </c>
      <c r="B585" s="60" t="s">
        <v>395</v>
      </c>
      <c r="C585" s="60" t="s">
        <v>515</v>
      </c>
      <c r="D585" s="60">
        <v>0.03</v>
      </c>
      <c r="E585" s="60">
        <v>60.0</v>
      </c>
      <c r="F585" s="60">
        <v>1.8</v>
      </c>
      <c r="G585" s="118" t="s">
        <v>514</v>
      </c>
      <c r="H585" s="116"/>
      <c r="I585" s="116"/>
    </row>
    <row r="586">
      <c r="A586" s="117">
        <v>46048.95224115741</v>
      </c>
      <c r="B586" s="60" t="s">
        <v>395</v>
      </c>
      <c r="C586" s="60" t="s">
        <v>205</v>
      </c>
      <c r="D586" s="60">
        <v>0.08</v>
      </c>
      <c r="E586" s="60">
        <v>35.0</v>
      </c>
      <c r="F586" s="60">
        <v>2.8</v>
      </c>
      <c r="G586" s="118" t="s">
        <v>514</v>
      </c>
      <c r="H586" s="116"/>
      <c r="I586" s="116"/>
    </row>
    <row r="587">
      <c r="A587" s="117">
        <v>46048.95224115741</v>
      </c>
      <c r="B587" s="60" t="s">
        <v>395</v>
      </c>
      <c r="C587" s="60" t="s">
        <v>111</v>
      </c>
      <c r="D587" s="60">
        <v>0.12</v>
      </c>
      <c r="E587" s="60">
        <v>35.0</v>
      </c>
      <c r="F587" s="60">
        <v>4.2</v>
      </c>
      <c r="G587" s="118" t="s">
        <v>514</v>
      </c>
      <c r="H587" s="116"/>
      <c r="I587" s="116"/>
    </row>
    <row r="588">
      <c r="A588" s="117">
        <v>46047.95227255787</v>
      </c>
      <c r="B588" s="60" t="s">
        <v>392</v>
      </c>
      <c r="C588" s="60" t="s">
        <v>429</v>
      </c>
      <c r="D588" s="60">
        <v>10.0</v>
      </c>
      <c r="E588" s="60">
        <v>1.5</v>
      </c>
      <c r="F588" s="60">
        <v>15.0</v>
      </c>
      <c r="G588" s="118" t="s">
        <v>516</v>
      </c>
      <c r="H588" s="116"/>
      <c r="I588" s="116"/>
    </row>
    <row r="589">
      <c r="A589" s="117">
        <v>46047.95227255787</v>
      </c>
      <c r="B589" s="60" t="s">
        <v>392</v>
      </c>
      <c r="C589" s="60" t="s">
        <v>170</v>
      </c>
      <c r="D589" s="60">
        <v>0.0</v>
      </c>
      <c r="E589" s="60">
        <v>2.0</v>
      </c>
      <c r="F589" s="60">
        <v>0.0</v>
      </c>
      <c r="G589" s="118" t="s">
        <v>516</v>
      </c>
      <c r="H589" s="116"/>
      <c r="I589" s="116"/>
    </row>
    <row r="590">
      <c r="A590" s="117">
        <v>46047.95227255787</v>
      </c>
      <c r="B590" s="60" t="s">
        <v>392</v>
      </c>
      <c r="C590" s="60" t="s">
        <v>323</v>
      </c>
      <c r="D590" s="60">
        <v>0.02</v>
      </c>
      <c r="E590" s="60">
        <v>50.0</v>
      </c>
      <c r="F590" s="60">
        <v>1.0</v>
      </c>
      <c r="G590" s="118" t="s">
        <v>516</v>
      </c>
      <c r="H590" s="116"/>
      <c r="I590" s="116"/>
    </row>
    <row r="591">
      <c r="A591" s="117">
        <v>46047.95227255787</v>
      </c>
      <c r="B591" s="60" t="s">
        <v>392</v>
      </c>
      <c r="C591" s="60" t="s">
        <v>89</v>
      </c>
      <c r="D591" s="60">
        <v>0.13</v>
      </c>
      <c r="E591" s="60">
        <v>50.0</v>
      </c>
      <c r="F591" s="60">
        <v>6.5</v>
      </c>
      <c r="G591" s="118" t="s">
        <v>516</v>
      </c>
      <c r="H591" s="116"/>
      <c r="I591" s="116"/>
    </row>
    <row r="592">
      <c r="A592" s="117">
        <v>46047.95227255787</v>
      </c>
      <c r="B592" s="60" t="s">
        <v>392</v>
      </c>
      <c r="C592" s="60" t="s">
        <v>89</v>
      </c>
      <c r="D592" s="60">
        <v>0.13</v>
      </c>
      <c r="E592" s="60">
        <v>25.0</v>
      </c>
      <c r="F592" s="60">
        <v>3.3</v>
      </c>
      <c r="G592" s="118" t="s">
        <v>516</v>
      </c>
      <c r="H592" s="116"/>
      <c r="I592" s="116"/>
    </row>
    <row r="593">
      <c r="A593" s="117">
        <v>46047.95227255787</v>
      </c>
      <c r="B593" s="60" t="s">
        <v>392</v>
      </c>
      <c r="C593" s="60" t="s">
        <v>212</v>
      </c>
      <c r="D593" s="60">
        <v>0.33</v>
      </c>
      <c r="E593" s="60">
        <v>8.0</v>
      </c>
      <c r="F593" s="60">
        <v>2.6</v>
      </c>
      <c r="G593" s="118" t="s">
        <v>516</v>
      </c>
      <c r="H593" s="116"/>
      <c r="I593" s="116"/>
    </row>
    <row r="594">
      <c r="A594" s="117">
        <v>46047.95227255787</v>
      </c>
      <c r="B594" s="60" t="s">
        <v>397</v>
      </c>
      <c r="C594" s="60" t="s">
        <v>426</v>
      </c>
      <c r="D594" s="60">
        <v>1.0</v>
      </c>
      <c r="E594" s="60">
        <v>14.0</v>
      </c>
      <c r="F594" s="60">
        <v>14.0</v>
      </c>
      <c r="G594" s="118" t="s">
        <v>516</v>
      </c>
      <c r="H594" s="116"/>
      <c r="I594" s="116"/>
    </row>
    <row r="595">
      <c r="A595" s="117">
        <v>46047.95227255787</v>
      </c>
      <c r="B595" s="60" t="s">
        <v>397</v>
      </c>
      <c r="C595" s="60" t="s">
        <v>517</v>
      </c>
      <c r="D595" s="60">
        <v>0.02</v>
      </c>
      <c r="E595" s="60">
        <v>79.0</v>
      </c>
      <c r="F595" s="60">
        <v>1.31</v>
      </c>
      <c r="G595" s="118" t="s">
        <v>516</v>
      </c>
      <c r="H595" s="116"/>
      <c r="I595" s="116"/>
    </row>
    <row r="596">
      <c r="A596" s="117">
        <v>46047.95227255787</v>
      </c>
      <c r="B596" s="60" t="s">
        <v>397</v>
      </c>
      <c r="C596" s="60" t="s">
        <v>256</v>
      </c>
      <c r="D596" s="60">
        <v>2.0</v>
      </c>
      <c r="E596" s="60">
        <v>2.0</v>
      </c>
      <c r="F596" s="60">
        <v>4.0</v>
      </c>
      <c r="G596" s="118" t="s">
        <v>516</v>
      </c>
      <c r="H596" s="116"/>
      <c r="I596" s="116"/>
    </row>
    <row r="597">
      <c r="A597" s="117">
        <v>46047.95227255787</v>
      </c>
      <c r="B597" s="60" t="s">
        <v>397</v>
      </c>
      <c r="C597" s="60" t="s">
        <v>518</v>
      </c>
      <c r="D597" s="60">
        <v>0.04</v>
      </c>
      <c r="E597" s="60">
        <v>14.0</v>
      </c>
      <c r="F597" s="60">
        <v>0.6</v>
      </c>
      <c r="G597" s="118" t="s">
        <v>516</v>
      </c>
      <c r="H597" s="116"/>
      <c r="I597" s="116"/>
    </row>
    <row r="598">
      <c r="A598" s="117">
        <v>46047.95227255787</v>
      </c>
      <c r="B598" s="60" t="s">
        <v>398</v>
      </c>
      <c r="C598" s="60" t="s">
        <v>444</v>
      </c>
      <c r="D598" s="60">
        <v>0.05</v>
      </c>
      <c r="E598" s="60">
        <v>20.0</v>
      </c>
      <c r="F598" s="60">
        <v>1.0</v>
      </c>
      <c r="G598" s="118" t="s">
        <v>516</v>
      </c>
      <c r="H598" s="116"/>
      <c r="I598" s="116"/>
    </row>
    <row r="599">
      <c r="A599" s="117">
        <v>46047.95227255787</v>
      </c>
      <c r="B599" s="60" t="s">
        <v>395</v>
      </c>
      <c r="C599" s="60" t="s">
        <v>438</v>
      </c>
      <c r="D599" s="60">
        <v>0.0</v>
      </c>
      <c r="E599" s="60">
        <v>50.0</v>
      </c>
      <c r="F599" s="60">
        <v>0.0</v>
      </c>
      <c r="G599" s="118" t="s">
        <v>516</v>
      </c>
      <c r="H599" s="116"/>
      <c r="I599" s="116"/>
    </row>
    <row r="600">
      <c r="A600" s="117">
        <v>46047.95227255787</v>
      </c>
      <c r="B600" s="60" t="s">
        <v>395</v>
      </c>
      <c r="C600" s="60" t="s">
        <v>444</v>
      </c>
      <c r="D600" s="60">
        <v>0.05</v>
      </c>
      <c r="E600" s="60">
        <v>40.0</v>
      </c>
      <c r="F600" s="60">
        <v>2.0</v>
      </c>
      <c r="G600" s="118" t="s">
        <v>516</v>
      </c>
      <c r="H600" s="116"/>
      <c r="I600" s="116"/>
    </row>
    <row r="601">
      <c r="A601" s="117">
        <v>46047.95227255787</v>
      </c>
      <c r="B601" s="60" t="s">
        <v>395</v>
      </c>
      <c r="C601" s="60" t="s">
        <v>519</v>
      </c>
      <c r="D601" s="60">
        <v>0.24</v>
      </c>
      <c r="E601" s="60">
        <v>55.0</v>
      </c>
      <c r="F601" s="60">
        <v>13.2</v>
      </c>
      <c r="G601" s="118" t="s">
        <v>516</v>
      </c>
      <c r="H601" s="116"/>
      <c r="I601" s="116"/>
    </row>
    <row r="602">
      <c r="A602" s="117">
        <v>46047.95227255787</v>
      </c>
      <c r="B602" s="60" t="s">
        <v>395</v>
      </c>
      <c r="C602" s="60" t="s">
        <v>328</v>
      </c>
      <c r="D602" s="60">
        <v>0.07</v>
      </c>
      <c r="E602" s="60">
        <v>15.0</v>
      </c>
      <c r="F602" s="60">
        <v>1.1</v>
      </c>
      <c r="G602" s="118" t="s">
        <v>516</v>
      </c>
      <c r="H602" s="116"/>
      <c r="I602" s="116"/>
    </row>
    <row r="603">
      <c r="A603" s="117">
        <v>46046.95222699074</v>
      </c>
      <c r="B603" s="60" t="s">
        <v>392</v>
      </c>
      <c r="C603" s="60" t="s">
        <v>170</v>
      </c>
      <c r="D603" s="60">
        <v>0.0</v>
      </c>
      <c r="E603" s="60">
        <v>2.5</v>
      </c>
      <c r="F603" s="60">
        <v>0.0</v>
      </c>
      <c r="G603" s="118" t="s">
        <v>520</v>
      </c>
      <c r="H603" s="116"/>
      <c r="I603" s="116"/>
    </row>
    <row r="604">
      <c r="A604" s="117">
        <v>46046.95222699074</v>
      </c>
      <c r="B604" s="60" t="s">
        <v>392</v>
      </c>
      <c r="C604" s="60" t="s">
        <v>212</v>
      </c>
      <c r="D604" s="60">
        <v>0.33</v>
      </c>
      <c r="E604" s="60">
        <v>20.0</v>
      </c>
      <c r="F604" s="60">
        <v>6.6</v>
      </c>
      <c r="G604" s="118" t="s">
        <v>520</v>
      </c>
      <c r="H604" s="116"/>
      <c r="I604" s="116"/>
    </row>
    <row r="605">
      <c r="A605" s="117">
        <v>46046.95222699074</v>
      </c>
      <c r="B605" s="60" t="s">
        <v>392</v>
      </c>
      <c r="C605" s="60" t="s">
        <v>426</v>
      </c>
      <c r="D605" s="60">
        <v>1.0</v>
      </c>
      <c r="E605" s="60">
        <v>14.0</v>
      </c>
      <c r="F605" s="60">
        <v>14.0</v>
      </c>
      <c r="G605" s="118" t="s">
        <v>520</v>
      </c>
      <c r="H605" s="116"/>
      <c r="I605" s="116"/>
    </row>
    <row r="606">
      <c r="A606" s="117">
        <v>46046.95222699074</v>
      </c>
      <c r="B606" s="60" t="s">
        <v>397</v>
      </c>
      <c r="C606" s="60" t="s">
        <v>87</v>
      </c>
      <c r="D606" s="60">
        <v>0.27</v>
      </c>
      <c r="E606" s="60">
        <v>105.0</v>
      </c>
      <c r="F606" s="60">
        <v>28.4</v>
      </c>
      <c r="G606" s="118" t="s">
        <v>520</v>
      </c>
      <c r="H606" s="116"/>
      <c r="I606" s="116"/>
    </row>
    <row r="607">
      <c r="A607" s="117">
        <v>46046.95222699074</v>
      </c>
      <c r="B607" s="60" t="s">
        <v>397</v>
      </c>
      <c r="C607" s="60" t="s">
        <v>508</v>
      </c>
      <c r="D607" s="60">
        <v>2.0</v>
      </c>
      <c r="E607" s="60">
        <v>1.0</v>
      </c>
      <c r="F607" s="60">
        <v>2.0</v>
      </c>
      <c r="G607" s="118" t="s">
        <v>520</v>
      </c>
      <c r="H607" s="116"/>
      <c r="I607" s="116"/>
    </row>
    <row r="608">
      <c r="A608" s="117">
        <v>46046.95222699074</v>
      </c>
      <c r="B608" s="60" t="s">
        <v>397</v>
      </c>
      <c r="C608" s="60" t="s">
        <v>326</v>
      </c>
      <c r="D608" s="60">
        <v>0.1</v>
      </c>
      <c r="E608" s="60">
        <v>10.0</v>
      </c>
      <c r="F608" s="60">
        <v>1.0</v>
      </c>
      <c r="G608" s="118" t="s">
        <v>520</v>
      </c>
      <c r="H608" s="116"/>
      <c r="I608" s="116"/>
    </row>
    <row r="609">
      <c r="A609" s="117">
        <v>46046.95222699074</v>
      </c>
      <c r="B609" s="60" t="s">
        <v>397</v>
      </c>
      <c r="C609" s="60" t="s">
        <v>152</v>
      </c>
      <c r="D609" s="60">
        <v>0.0</v>
      </c>
      <c r="E609" s="60">
        <v>30.0</v>
      </c>
      <c r="F609" s="60">
        <v>0.0</v>
      </c>
      <c r="G609" s="118" t="s">
        <v>520</v>
      </c>
      <c r="H609" s="116"/>
      <c r="I609" s="116"/>
    </row>
    <row r="610">
      <c r="A610" s="117">
        <v>46046.95222699074</v>
      </c>
      <c r="B610" s="60" t="s">
        <v>397</v>
      </c>
      <c r="C610" s="60" t="s">
        <v>164</v>
      </c>
      <c r="D610" s="60">
        <v>0.0</v>
      </c>
      <c r="E610" s="60">
        <v>60.0</v>
      </c>
      <c r="F610" s="60">
        <v>0.0</v>
      </c>
      <c r="G610" s="118" t="s">
        <v>520</v>
      </c>
      <c r="H610" s="116"/>
      <c r="I610" s="116"/>
    </row>
    <row r="611">
      <c r="A611" s="117">
        <v>46046.95222699074</v>
      </c>
      <c r="B611" s="60" t="s">
        <v>395</v>
      </c>
      <c r="C611" s="60" t="s">
        <v>429</v>
      </c>
      <c r="D611" s="60">
        <v>10.0</v>
      </c>
      <c r="E611" s="60">
        <v>2.0</v>
      </c>
      <c r="F611" s="60">
        <v>20.0</v>
      </c>
      <c r="G611" s="118" t="s">
        <v>520</v>
      </c>
      <c r="H611" s="116"/>
      <c r="I611" s="116"/>
    </row>
    <row r="612">
      <c r="A612" s="117">
        <v>46046.95222699074</v>
      </c>
      <c r="B612" s="60" t="s">
        <v>395</v>
      </c>
      <c r="C612" s="60" t="s">
        <v>205</v>
      </c>
      <c r="D612" s="60">
        <v>0.08</v>
      </c>
      <c r="E612" s="60">
        <v>40.0</v>
      </c>
      <c r="F612" s="60">
        <v>3.2</v>
      </c>
      <c r="G612" s="118" t="s">
        <v>520</v>
      </c>
      <c r="H612" s="116"/>
      <c r="I612" s="116"/>
    </row>
    <row r="613">
      <c r="A613" s="117">
        <v>46046.95222699074</v>
      </c>
      <c r="B613" s="60" t="s">
        <v>395</v>
      </c>
      <c r="C613" s="60" t="s">
        <v>245</v>
      </c>
      <c r="D613" s="60">
        <v>0.06</v>
      </c>
      <c r="E613" s="60">
        <v>55.0</v>
      </c>
      <c r="F613" s="60">
        <v>3.3</v>
      </c>
      <c r="G613" s="118" t="s">
        <v>520</v>
      </c>
      <c r="H613" s="116"/>
      <c r="I613" s="116"/>
    </row>
    <row r="614">
      <c r="A614" s="117">
        <v>46046.95222699074</v>
      </c>
      <c r="B614" s="60" t="s">
        <v>395</v>
      </c>
      <c r="C614" s="60" t="s">
        <v>328</v>
      </c>
      <c r="D614" s="60">
        <v>0.07</v>
      </c>
      <c r="E614" s="60">
        <v>25.0</v>
      </c>
      <c r="F614" s="60">
        <v>1.8</v>
      </c>
      <c r="G614" s="118" t="s">
        <v>520</v>
      </c>
      <c r="H614" s="116"/>
      <c r="I614" s="116"/>
    </row>
    <row r="615">
      <c r="A615" s="117">
        <v>46046.95222699074</v>
      </c>
      <c r="B615" s="60" t="s">
        <v>395</v>
      </c>
      <c r="C615" s="60" t="s">
        <v>328</v>
      </c>
      <c r="D615" s="60">
        <v>0.07</v>
      </c>
      <c r="E615" s="60">
        <v>13.0</v>
      </c>
      <c r="F615" s="60">
        <v>0.9</v>
      </c>
      <c r="G615" s="118" t="s">
        <v>520</v>
      </c>
      <c r="H615" s="116"/>
      <c r="I615" s="116"/>
    </row>
    <row r="616">
      <c r="A616" s="117">
        <v>46045.95228481482</v>
      </c>
      <c r="B616" s="60" t="s">
        <v>392</v>
      </c>
      <c r="C616" s="60" t="s">
        <v>233</v>
      </c>
      <c r="D616" s="60">
        <v>0.13</v>
      </c>
      <c r="E616" s="60">
        <v>11.0</v>
      </c>
      <c r="F616" s="60">
        <v>1.4</v>
      </c>
      <c r="G616" s="118" t="s">
        <v>521</v>
      </c>
      <c r="H616" s="116"/>
      <c r="I616" s="116"/>
    </row>
    <row r="617">
      <c r="A617" s="117">
        <v>46045.95228481482</v>
      </c>
      <c r="B617" s="60" t="s">
        <v>392</v>
      </c>
      <c r="C617" s="60" t="s">
        <v>273</v>
      </c>
      <c r="D617" s="60">
        <v>0.09</v>
      </c>
      <c r="E617" s="60">
        <v>85.0</v>
      </c>
      <c r="F617" s="60">
        <v>7.7</v>
      </c>
      <c r="G617" s="118" t="s">
        <v>521</v>
      </c>
      <c r="H617" s="116"/>
      <c r="I617" s="116"/>
    </row>
    <row r="618">
      <c r="A618" s="117">
        <v>46045.95228481482</v>
      </c>
      <c r="B618" s="60" t="s">
        <v>392</v>
      </c>
      <c r="C618" s="60" t="s">
        <v>429</v>
      </c>
      <c r="D618" s="60">
        <v>10.0</v>
      </c>
      <c r="E618" s="60">
        <v>1.0</v>
      </c>
      <c r="F618" s="60">
        <v>10.0</v>
      </c>
      <c r="G618" s="118" t="s">
        <v>521</v>
      </c>
      <c r="H618" s="116"/>
      <c r="I618" s="116"/>
    </row>
    <row r="619">
      <c r="A619" s="117">
        <v>46045.95228481482</v>
      </c>
      <c r="B619" s="60" t="s">
        <v>394</v>
      </c>
      <c r="C619" s="60" t="s">
        <v>212</v>
      </c>
      <c r="D619" s="60">
        <v>0.33</v>
      </c>
      <c r="E619" s="60">
        <v>10.0</v>
      </c>
      <c r="F619" s="60">
        <v>3.3</v>
      </c>
      <c r="G619" s="118" t="s">
        <v>521</v>
      </c>
      <c r="H619" s="116"/>
      <c r="I619" s="116"/>
    </row>
    <row r="620">
      <c r="A620" s="117">
        <v>46045.95228481482</v>
      </c>
      <c r="B620" s="60" t="s">
        <v>394</v>
      </c>
      <c r="C620" s="60" t="s">
        <v>454</v>
      </c>
      <c r="D620" s="60">
        <v>0.3</v>
      </c>
      <c r="E620" s="60">
        <v>12.0</v>
      </c>
      <c r="F620" s="60">
        <v>3.6</v>
      </c>
      <c r="G620" s="118" t="s">
        <v>521</v>
      </c>
      <c r="H620" s="116"/>
      <c r="I620" s="116"/>
    </row>
    <row r="621">
      <c r="A621" s="117">
        <v>46045.95228481482</v>
      </c>
      <c r="B621" s="60" t="s">
        <v>397</v>
      </c>
      <c r="C621" s="60" t="s">
        <v>456</v>
      </c>
      <c r="D621" s="60">
        <v>0.06</v>
      </c>
      <c r="E621" s="60">
        <v>18.0</v>
      </c>
      <c r="F621" s="60">
        <v>1.1</v>
      </c>
      <c r="G621" s="118" t="s">
        <v>521</v>
      </c>
      <c r="H621" s="116"/>
      <c r="I621" s="116"/>
    </row>
    <row r="622">
      <c r="A622" s="117">
        <v>46045.95228481482</v>
      </c>
      <c r="B622" s="60" t="s">
        <v>397</v>
      </c>
      <c r="C622" s="60" t="s">
        <v>152</v>
      </c>
      <c r="D622" s="60">
        <v>0.0</v>
      </c>
      <c r="E622" s="60">
        <v>70.0</v>
      </c>
      <c r="F622" s="60">
        <v>0.0</v>
      </c>
      <c r="G622" s="118" t="s">
        <v>521</v>
      </c>
      <c r="H622" s="116"/>
      <c r="I622" s="116"/>
    </row>
    <row r="623">
      <c r="A623" s="117">
        <v>46045.95228481482</v>
      </c>
      <c r="B623" s="60" t="s">
        <v>397</v>
      </c>
      <c r="C623" s="60" t="s">
        <v>104</v>
      </c>
      <c r="D623" s="60">
        <v>0.05</v>
      </c>
      <c r="E623" s="60">
        <v>36.0</v>
      </c>
      <c r="F623" s="60">
        <v>1.8</v>
      </c>
      <c r="G623" s="118" t="s">
        <v>521</v>
      </c>
      <c r="H623" s="116"/>
      <c r="I623" s="116"/>
    </row>
    <row r="624">
      <c r="A624" s="117">
        <v>46045.95228481482</v>
      </c>
      <c r="B624" s="60" t="s">
        <v>397</v>
      </c>
      <c r="C624" s="60" t="s">
        <v>115</v>
      </c>
      <c r="D624" s="60">
        <v>0.03</v>
      </c>
      <c r="E624" s="60">
        <v>36.0</v>
      </c>
      <c r="F624" s="60">
        <v>1.1</v>
      </c>
      <c r="G624" s="118" t="s">
        <v>521</v>
      </c>
      <c r="H624" s="116"/>
      <c r="I624" s="116"/>
    </row>
    <row r="625">
      <c r="A625" s="117">
        <v>46045.95228481482</v>
      </c>
      <c r="B625" s="60" t="s">
        <v>395</v>
      </c>
      <c r="C625" s="60" t="s">
        <v>442</v>
      </c>
      <c r="D625" s="60">
        <v>8.0</v>
      </c>
      <c r="E625" s="60">
        <v>1.5</v>
      </c>
      <c r="F625" s="60">
        <v>12.0</v>
      </c>
      <c r="G625" s="118" t="s">
        <v>521</v>
      </c>
      <c r="H625" s="116"/>
      <c r="I625" s="116"/>
    </row>
    <row r="626">
      <c r="A626" s="117">
        <v>46045.95228481482</v>
      </c>
      <c r="B626" s="60" t="s">
        <v>395</v>
      </c>
      <c r="C626" s="60" t="s">
        <v>429</v>
      </c>
      <c r="D626" s="60">
        <v>10.0</v>
      </c>
      <c r="E626" s="60">
        <v>1.0</v>
      </c>
      <c r="F626" s="60">
        <v>10.0</v>
      </c>
      <c r="G626" s="118" t="s">
        <v>521</v>
      </c>
      <c r="H626" s="116"/>
      <c r="I626" s="116"/>
    </row>
    <row r="627">
      <c r="A627" s="117">
        <v>46045.95228481482</v>
      </c>
      <c r="B627" s="60" t="s">
        <v>395</v>
      </c>
      <c r="C627" s="60" t="s">
        <v>132</v>
      </c>
      <c r="D627" s="60">
        <v>0.02</v>
      </c>
      <c r="E627" s="60">
        <v>60.0</v>
      </c>
      <c r="F627" s="60">
        <v>1.2</v>
      </c>
      <c r="G627" s="118" t="s">
        <v>521</v>
      </c>
      <c r="H627" s="116"/>
      <c r="I627" s="116"/>
    </row>
    <row r="628">
      <c r="A628" s="117">
        <v>46045.95228481482</v>
      </c>
      <c r="B628" s="60" t="s">
        <v>395</v>
      </c>
      <c r="C628" s="60" t="s">
        <v>444</v>
      </c>
      <c r="D628" s="60">
        <v>0.07</v>
      </c>
      <c r="E628" s="60">
        <v>23.0</v>
      </c>
      <c r="F628" s="60">
        <v>1.6</v>
      </c>
      <c r="G628" s="118" t="s">
        <v>521</v>
      </c>
      <c r="H628" s="116"/>
      <c r="I628" s="116"/>
    </row>
    <row r="629">
      <c r="A629" s="117">
        <v>46045.95228481482</v>
      </c>
      <c r="B629" s="60" t="s">
        <v>395</v>
      </c>
      <c r="C629" s="60" t="s">
        <v>104</v>
      </c>
      <c r="D629" s="60">
        <v>0.05</v>
      </c>
      <c r="E629" s="60">
        <v>20.0</v>
      </c>
      <c r="F629" s="60">
        <v>1.0</v>
      </c>
      <c r="G629" s="118" t="s">
        <v>521</v>
      </c>
      <c r="H629" s="116"/>
      <c r="I629" s="116"/>
    </row>
    <row r="630">
      <c r="A630" s="117">
        <v>46045.95228481482</v>
      </c>
      <c r="B630" s="60" t="s">
        <v>395</v>
      </c>
      <c r="C630" s="60" t="s">
        <v>328</v>
      </c>
      <c r="D630" s="60">
        <v>0.07</v>
      </c>
      <c r="E630" s="60">
        <v>15.0</v>
      </c>
      <c r="F630" s="60">
        <v>1.1</v>
      </c>
      <c r="G630" s="118" t="s">
        <v>521</v>
      </c>
      <c r="H630" s="116"/>
      <c r="I630" s="116"/>
    </row>
    <row r="631">
      <c r="A631" s="117">
        <v>46044.95224298611</v>
      </c>
      <c r="B631" s="60" t="s">
        <v>392</v>
      </c>
      <c r="C631" s="60" t="s">
        <v>170</v>
      </c>
      <c r="D631" s="60">
        <v>0.0</v>
      </c>
      <c r="E631" s="60">
        <v>2.5</v>
      </c>
      <c r="F631" s="60">
        <v>0.0</v>
      </c>
      <c r="G631" s="118" t="s">
        <v>522</v>
      </c>
      <c r="H631" s="116"/>
      <c r="I631" s="116"/>
    </row>
    <row r="632">
      <c r="A632" s="117">
        <v>46044.95224298611</v>
      </c>
      <c r="B632" s="60" t="s">
        <v>392</v>
      </c>
      <c r="C632" s="60" t="s">
        <v>429</v>
      </c>
      <c r="D632" s="60">
        <v>10.0</v>
      </c>
      <c r="E632" s="60">
        <v>1.0</v>
      </c>
      <c r="F632" s="60">
        <v>10.0</v>
      </c>
      <c r="G632" s="118" t="s">
        <v>522</v>
      </c>
      <c r="H632" s="116"/>
      <c r="I632" s="116"/>
    </row>
    <row r="633">
      <c r="A633" s="117">
        <v>46044.95224298611</v>
      </c>
      <c r="B633" s="60" t="s">
        <v>392</v>
      </c>
      <c r="C633" s="60" t="s">
        <v>212</v>
      </c>
      <c r="D633" s="60">
        <v>0.33</v>
      </c>
      <c r="E633" s="60">
        <v>10.0</v>
      </c>
      <c r="F633" s="60">
        <v>3.3</v>
      </c>
      <c r="G633" s="118" t="s">
        <v>522</v>
      </c>
      <c r="H633" s="116"/>
      <c r="I633" s="116"/>
    </row>
    <row r="634">
      <c r="A634" s="117">
        <v>46044.95224298611</v>
      </c>
      <c r="B634" s="60" t="s">
        <v>392</v>
      </c>
      <c r="C634" s="60" t="s">
        <v>89</v>
      </c>
      <c r="D634" s="60">
        <v>0.13</v>
      </c>
      <c r="E634" s="60">
        <v>50.0</v>
      </c>
      <c r="F634" s="60">
        <v>6.5</v>
      </c>
      <c r="G634" s="118" t="s">
        <v>522</v>
      </c>
      <c r="H634" s="116"/>
      <c r="I634" s="116"/>
    </row>
    <row r="635">
      <c r="A635" s="117">
        <v>46044.95224298611</v>
      </c>
      <c r="B635" s="60" t="s">
        <v>395</v>
      </c>
      <c r="C635" s="60" t="s">
        <v>485</v>
      </c>
      <c r="D635" s="60">
        <v>7.0</v>
      </c>
      <c r="E635" s="60">
        <v>1.0</v>
      </c>
      <c r="F635" s="60">
        <v>7.0</v>
      </c>
      <c r="G635" s="118" t="s">
        <v>522</v>
      </c>
      <c r="H635" s="116"/>
      <c r="I635" s="116"/>
    </row>
    <row r="636">
      <c r="A636" s="117">
        <v>46044.95224298611</v>
      </c>
      <c r="B636" s="60" t="s">
        <v>395</v>
      </c>
      <c r="C636" s="60" t="s">
        <v>523</v>
      </c>
      <c r="D636" s="60">
        <v>21.0</v>
      </c>
      <c r="E636" s="60">
        <v>1.0</v>
      </c>
      <c r="F636" s="60">
        <v>21.0</v>
      </c>
      <c r="G636" s="118" t="s">
        <v>522</v>
      </c>
      <c r="H636" s="116"/>
      <c r="I636" s="116"/>
    </row>
    <row r="637">
      <c r="A637" s="117">
        <v>46044.95224298611</v>
      </c>
      <c r="B637" s="60" t="s">
        <v>395</v>
      </c>
      <c r="C637" s="60" t="s">
        <v>296</v>
      </c>
      <c r="D637" s="60">
        <v>0.26</v>
      </c>
      <c r="E637" s="60">
        <v>10.0</v>
      </c>
      <c r="F637" s="60">
        <v>2.6</v>
      </c>
      <c r="G637" s="118" t="s">
        <v>522</v>
      </c>
      <c r="H637" s="116"/>
      <c r="I637" s="116"/>
    </row>
    <row r="638">
      <c r="A638" s="117">
        <v>46044.95224298611</v>
      </c>
      <c r="B638" s="60" t="s">
        <v>395</v>
      </c>
      <c r="C638" s="60" t="s">
        <v>328</v>
      </c>
      <c r="D638" s="60">
        <v>0.07</v>
      </c>
      <c r="E638" s="60">
        <v>14.0</v>
      </c>
      <c r="F638" s="60">
        <v>1.0</v>
      </c>
      <c r="G638" s="118" t="s">
        <v>522</v>
      </c>
      <c r="H638" s="116"/>
      <c r="I638" s="116"/>
    </row>
    <row r="639">
      <c r="A639" s="117">
        <v>46044.95224298611</v>
      </c>
      <c r="B639" s="60" t="s">
        <v>395</v>
      </c>
      <c r="C639" s="60" t="s">
        <v>443</v>
      </c>
      <c r="D639" s="60">
        <v>0.15</v>
      </c>
      <c r="E639" s="60">
        <v>5.0</v>
      </c>
      <c r="F639" s="60">
        <v>0.8</v>
      </c>
      <c r="G639" s="118" t="s">
        <v>522</v>
      </c>
      <c r="H639" s="116"/>
      <c r="I639" s="116"/>
    </row>
    <row r="640">
      <c r="A640" s="117">
        <v>46043.95225052083</v>
      </c>
      <c r="B640" s="60" t="s">
        <v>392</v>
      </c>
      <c r="C640" s="60" t="s">
        <v>429</v>
      </c>
      <c r="D640" s="60">
        <v>10.0</v>
      </c>
      <c r="E640" s="60">
        <v>1.5</v>
      </c>
      <c r="F640" s="60">
        <v>15.0</v>
      </c>
      <c r="G640" s="118" t="s">
        <v>524</v>
      </c>
      <c r="H640" s="116"/>
      <c r="I640" s="116"/>
    </row>
    <row r="641">
      <c r="A641" s="117">
        <v>46043.95225052083</v>
      </c>
      <c r="B641" s="60" t="s">
        <v>392</v>
      </c>
      <c r="C641" s="60" t="s">
        <v>233</v>
      </c>
      <c r="D641" s="60">
        <v>0.13</v>
      </c>
      <c r="E641" s="60">
        <v>18.0</v>
      </c>
      <c r="F641" s="60">
        <v>2.3</v>
      </c>
      <c r="G641" s="118" t="s">
        <v>524</v>
      </c>
      <c r="H641" s="116"/>
      <c r="I641" s="116"/>
    </row>
    <row r="642">
      <c r="A642" s="117">
        <v>46043.95225052083</v>
      </c>
      <c r="B642" s="60" t="s">
        <v>392</v>
      </c>
      <c r="C642" s="60" t="s">
        <v>89</v>
      </c>
      <c r="D642" s="60">
        <v>0.13</v>
      </c>
      <c r="E642" s="60">
        <v>52.0</v>
      </c>
      <c r="F642" s="60">
        <v>6.8</v>
      </c>
      <c r="G642" s="118" t="s">
        <v>524</v>
      </c>
      <c r="H642" s="116"/>
      <c r="I642" s="116"/>
    </row>
    <row r="643">
      <c r="A643" s="117">
        <v>46043.95225052083</v>
      </c>
      <c r="B643" s="60" t="s">
        <v>392</v>
      </c>
      <c r="C643" s="60" t="s">
        <v>111</v>
      </c>
      <c r="D643" s="60">
        <v>0.12</v>
      </c>
      <c r="E643" s="60">
        <v>40.0</v>
      </c>
      <c r="F643" s="60">
        <v>4.8</v>
      </c>
      <c r="G643" s="118" t="s">
        <v>524</v>
      </c>
      <c r="H643" s="116"/>
      <c r="I643" s="116"/>
    </row>
    <row r="644">
      <c r="A644" s="117">
        <v>46043.95225052083</v>
      </c>
      <c r="B644" s="60" t="s">
        <v>395</v>
      </c>
      <c r="C644" s="60" t="s">
        <v>406</v>
      </c>
      <c r="D644" s="60">
        <v>0.05</v>
      </c>
      <c r="E644" s="60">
        <v>120.0</v>
      </c>
      <c r="F644" s="60">
        <v>6.15</v>
      </c>
      <c r="G644" s="118" t="s">
        <v>524</v>
      </c>
      <c r="H644" s="116"/>
      <c r="I644" s="116"/>
    </row>
    <row r="645">
      <c r="A645" s="117">
        <v>46043.95225052083</v>
      </c>
      <c r="B645" s="60" t="s">
        <v>395</v>
      </c>
      <c r="C645" s="60" t="s">
        <v>472</v>
      </c>
      <c r="D645" s="60">
        <v>4.0</v>
      </c>
      <c r="E645" s="60">
        <v>3.0</v>
      </c>
      <c r="F645" s="60">
        <v>12.0</v>
      </c>
      <c r="G645" s="118" t="s">
        <v>524</v>
      </c>
      <c r="H645" s="116"/>
      <c r="I645" s="116"/>
    </row>
    <row r="646">
      <c r="A646" s="117">
        <v>46043.95225052083</v>
      </c>
      <c r="B646" s="60" t="s">
        <v>395</v>
      </c>
      <c r="C646" s="60" t="s">
        <v>256</v>
      </c>
      <c r="D646" s="60">
        <v>2.0</v>
      </c>
      <c r="E646" s="60">
        <v>1.0</v>
      </c>
      <c r="F646" s="60">
        <v>2.0</v>
      </c>
      <c r="G646" s="118" t="s">
        <v>524</v>
      </c>
      <c r="H646" s="116"/>
      <c r="I646" s="116"/>
    </row>
    <row r="647">
      <c r="A647" s="117">
        <v>46043.95225052083</v>
      </c>
      <c r="B647" s="60" t="s">
        <v>395</v>
      </c>
      <c r="C647" s="60" t="s">
        <v>316</v>
      </c>
      <c r="D647" s="60">
        <v>0.03</v>
      </c>
      <c r="E647" s="60">
        <v>94.0</v>
      </c>
      <c r="F647" s="60">
        <v>2.8</v>
      </c>
      <c r="G647" s="118" t="s">
        <v>524</v>
      </c>
      <c r="H647" s="116"/>
      <c r="I647" s="116"/>
    </row>
    <row r="648">
      <c r="A648" s="117">
        <v>46043.95225052083</v>
      </c>
      <c r="B648" s="60" t="s">
        <v>395</v>
      </c>
      <c r="C648" s="60" t="s">
        <v>84</v>
      </c>
      <c r="D648" s="60">
        <v>1.0</v>
      </c>
      <c r="E648" s="60">
        <v>2.0</v>
      </c>
      <c r="F648" s="60">
        <v>2.25</v>
      </c>
      <c r="G648" s="118" t="s">
        <v>524</v>
      </c>
      <c r="H648" s="116"/>
      <c r="I648" s="116"/>
    </row>
    <row r="649">
      <c r="A649" s="117">
        <v>46042.95225835648</v>
      </c>
      <c r="B649" s="60" t="s">
        <v>392</v>
      </c>
      <c r="C649" s="60" t="s">
        <v>170</v>
      </c>
      <c r="D649" s="60">
        <v>0.0</v>
      </c>
      <c r="E649" s="60">
        <v>2.5</v>
      </c>
      <c r="F649" s="60">
        <v>0.0</v>
      </c>
      <c r="G649" s="118" t="s">
        <v>525</v>
      </c>
      <c r="H649" s="116"/>
      <c r="I649" s="116"/>
    </row>
    <row r="650">
      <c r="A650" s="117">
        <v>46042.95225835648</v>
      </c>
      <c r="B650" s="60" t="s">
        <v>392</v>
      </c>
      <c r="C650" s="60" t="s">
        <v>212</v>
      </c>
      <c r="D650" s="60">
        <v>0.33</v>
      </c>
      <c r="E650" s="60">
        <v>11.0</v>
      </c>
      <c r="F650" s="60">
        <v>3.6</v>
      </c>
      <c r="G650" s="118" t="s">
        <v>525</v>
      </c>
      <c r="H650" s="116"/>
      <c r="I650" s="116"/>
    </row>
    <row r="651">
      <c r="A651" s="117">
        <v>46042.95225835648</v>
      </c>
      <c r="B651" s="60" t="s">
        <v>392</v>
      </c>
      <c r="C651" s="60" t="s">
        <v>429</v>
      </c>
      <c r="D651" s="60">
        <v>10.0</v>
      </c>
      <c r="E651" s="60">
        <v>1.0</v>
      </c>
      <c r="F651" s="60">
        <v>10.0</v>
      </c>
      <c r="G651" s="118" t="s">
        <v>525</v>
      </c>
      <c r="H651" s="116"/>
      <c r="I651" s="116"/>
    </row>
    <row r="652">
      <c r="A652" s="117">
        <v>46042.95225835648</v>
      </c>
      <c r="B652" s="60" t="s">
        <v>392</v>
      </c>
      <c r="C652" s="60" t="s">
        <v>89</v>
      </c>
      <c r="D652" s="60">
        <v>0.13</v>
      </c>
      <c r="E652" s="60">
        <v>50.0</v>
      </c>
      <c r="F652" s="60">
        <v>6.5</v>
      </c>
      <c r="G652" s="118" t="s">
        <v>525</v>
      </c>
      <c r="H652" s="116"/>
      <c r="I652" s="116"/>
    </row>
    <row r="653">
      <c r="A653" s="117">
        <v>46042.95225835648</v>
      </c>
      <c r="B653" s="60" t="s">
        <v>394</v>
      </c>
      <c r="C653" s="60" t="s">
        <v>202</v>
      </c>
      <c r="D653" s="60">
        <v>0.17</v>
      </c>
      <c r="E653" s="60">
        <v>36.0</v>
      </c>
      <c r="F653" s="60">
        <v>6.1</v>
      </c>
      <c r="G653" s="118" t="s">
        <v>525</v>
      </c>
      <c r="H653" s="116"/>
      <c r="I653" s="116"/>
    </row>
    <row r="654">
      <c r="A654" s="117">
        <v>46042.95225835648</v>
      </c>
      <c r="B654" s="60" t="s">
        <v>397</v>
      </c>
      <c r="C654" s="60" t="s">
        <v>87</v>
      </c>
      <c r="D654" s="60">
        <v>0.27</v>
      </c>
      <c r="E654" s="60">
        <v>80.0</v>
      </c>
      <c r="F654" s="60">
        <v>21.6</v>
      </c>
      <c r="G654" s="118" t="s">
        <v>525</v>
      </c>
      <c r="H654" s="116"/>
      <c r="I654" s="116"/>
    </row>
    <row r="655">
      <c r="A655" s="117">
        <v>46042.95225835648</v>
      </c>
      <c r="B655" s="60" t="s">
        <v>395</v>
      </c>
      <c r="C655" s="60" t="s">
        <v>526</v>
      </c>
      <c r="D655" s="60">
        <v>0.31</v>
      </c>
      <c r="E655" s="60">
        <v>61.0</v>
      </c>
      <c r="F655" s="60">
        <v>18.9</v>
      </c>
      <c r="G655" s="118" t="s">
        <v>525</v>
      </c>
      <c r="H655" s="116"/>
      <c r="I655" s="116"/>
    </row>
    <row r="656">
      <c r="A656" s="117">
        <v>46042.95225835648</v>
      </c>
      <c r="B656" s="60" t="s">
        <v>395</v>
      </c>
      <c r="C656" s="60" t="s">
        <v>205</v>
      </c>
      <c r="D656" s="60">
        <v>0.08</v>
      </c>
      <c r="E656" s="60">
        <v>40.0</v>
      </c>
      <c r="F656" s="60">
        <v>3.2</v>
      </c>
      <c r="G656" s="118" t="s">
        <v>525</v>
      </c>
      <c r="H656" s="116"/>
      <c r="I656" s="116"/>
    </row>
    <row r="657">
      <c r="A657" s="117">
        <v>46042.95225835648</v>
      </c>
      <c r="B657" s="60" t="s">
        <v>395</v>
      </c>
      <c r="C657" s="60" t="s">
        <v>316</v>
      </c>
      <c r="D657" s="60">
        <v>0.03</v>
      </c>
      <c r="E657" s="60">
        <v>60.0</v>
      </c>
      <c r="F657" s="60">
        <v>1.8</v>
      </c>
      <c r="G657" s="118" t="s">
        <v>525</v>
      </c>
      <c r="H657" s="116"/>
      <c r="I657" s="116"/>
    </row>
    <row r="658">
      <c r="A658" s="117">
        <v>46042.95225835648</v>
      </c>
      <c r="B658" s="60" t="s">
        <v>395</v>
      </c>
      <c r="C658" s="60" t="s">
        <v>91</v>
      </c>
      <c r="D658" s="60">
        <v>0.02</v>
      </c>
      <c r="E658" s="60">
        <v>1.0</v>
      </c>
      <c r="F658" s="60">
        <v>0.0</v>
      </c>
      <c r="G658" s="118" t="s">
        <v>525</v>
      </c>
      <c r="H658" s="116"/>
      <c r="I658" s="116"/>
    </row>
    <row r="659">
      <c r="A659" s="117">
        <v>46042.95225835648</v>
      </c>
      <c r="B659" s="60" t="s">
        <v>395</v>
      </c>
      <c r="C659" s="60" t="s">
        <v>429</v>
      </c>
      <c r="D659" s="60">
        <v>10.0</v>
      </c>
      <c r="E659" s="60">
        <v>0.5</v>
      </c>
      <c r="F659" s="60">
        <v>5.0</v>
      </c>
      <c r="G659" s="118" t="s">
        <v>525</v>
      </c>
      <c r="H659" s="116"/>
      <c r="I659" s="116"/>
    </row>
    <row r="660">
      <c r="A660" s="117">
        <v>46041.95222005787</v>
      </c>
      <c r="B660" s="60" t="s">
        <v>392</v>
      </c>
      <c r="C660" s="60" t="s">
        <v>429</v>
      </c>
      <c r="D660" s="60">
        <v>10.0</v>
      </c>
      <c r="E660" s="60">
        <v>1.5</v>
      </c>
      <c r="F660" s="60">
        <v>15.0</v>
      </c>
      <c r="G660" s="118" t="s">
        <v>527</v>
      </c>
      <c r="H660" s="116"/>
      <c r="I660" s="116"/>
    </row>
    <row r="661">
      <c r="A661" s="117">
        <v>46041.95222005787</v>
      </c>
      <c r="B661" s="60" t="s">
        <v>392</v>
      </c>
      <c r="C661" s="60" t="s">
        <v>233</v>
      </c>
      <c r="D661" s="60">
        <v>0.13</v>
      </c>
      <c r="E661" s="60">
        <v>18.0</v>
      </c>
      <c r="F661" s="60">
        <v>2.3</v>
      </c>
      <c r="G661" s="118" t="s">
        <v>527</v>
      </c>
      <c r="H661" s="116"/>
      <c r="I661" s="116"/>
    </row>
    <row r="662">
      <c r="A662" s="117">
        <v>46041.95222005787</v>
      </c>
      <c r="B662" s="60" t="s">
        <v>392</v>
      </c>
      <c r="C662" s="60" t="s">
        <v>89</v>
      </c>
      <c r="D662" s="60">
        <v>0.13</v>
      </c>
      <c r="E662" s="60">
        <v>58.0</v>
      </c>
      <c r="F662" s="60">
        <v>7.5</v>
      </c>
      <c r="G662" s="118" t="s">
        <v>527</v>
      </c>
      <c r="H662" s="116"/>
      <c r="I662" s="116"/>
    </row>
    <row r="663">
      <c r="A663" s="117">
        <v>46041.95222005787</v>
      </c>
      <c r="B663" s="60" t="s">
        <v>397</v>
      </c>
      <c r="C663" s="60" t="s">
        <v>202</v>
      </c>
      <c r="D663" s="60">
        <v>0.17</v>
      </c>
      <c r="E663" s="60">
        <v>52.0</v>
      </c>
      <c r="F663" s="60">
        <v>8.8</v>
      </c>
      <c r="G663" s="118" t="s">
        <v>527</v>
      </c>
      <c r="H663" s="116"/>
      <c r="I663" s="116"/>
    </row>
    <row r="664">
      <c r="A664" s="117">
        <v>46041.95222005787</v>
      </c>
      <c r="B664" s="60" t="s">
        <v>398</v>
      </c>
      <c r="C664" s="60" t="s">
        <v>444</v>
      </c>
      <c r="D664" s="60">
        <v>0.05</v>
      </c>
      <c r="E664" s="60">
        <v>35.0</v>
      </c>
      <c r="F664" s="60">
        <v>1.8</v>
      </c>
      <c r="G664" s="118" t="s">
        <v>527</v>
      </c>
      <c r="H664" s="116"/>
      <c r="I664" s="116"/>
    </row>
    <row r="665">
      <c r="A665" s="117">
        <v>46041.95222005787</v>
      </c>
      <c r="B665" s="60" t="s">
        <v>398</v>
      </c>
      <c r="C665" s="60" t="s">
        <v>111</v>
      </c>
      <c r="D665" s="60">
        <v>0.12</v>
      </c>
      <c r="E665" s="60">
        <v>23.0</v>
      </c>
      <c r="F665" s="60">
        <v>2.8</v>
      </c>
      <c r="G665" s="118" t="s">
        <v>527</v>
      </c>
      <c r="H665" s="116"/>
      <c r="I665" s="116"/>
    </row>
    <row r="666">
      <c r="A666" s="117">
        <v>46041.95222005787</v>
      </c>
      <c r="B666" s="60" t="s">
        <v>395</v>
      </c>
      <c r="C666" s="60" t="s">
        <v>438</v>
      </c>
      <c r="D666" s="60">
        <v>0.0</v>
      </c>
      <c r="E666" s="60">
        <v>0.0</v>
      </c>
      <c r="F666" s="60">
        <v>0.0</v>
      </c>
      <c r="G666" s="118" t="s">
        <v>527</v>
      </c>
      <c r="H666" s="116"/>
      <c r="I666" s="116"/>
    </row>
    <row r="667">
      <c r="A667" s="117">
        <v>46041.95222005787</v>
      </c>
      <c r="B667" s="60" t="s">
        <v>395</v>
      </c>
      <c r="C667" s="60" t="s">
        <v>462</v>
      </c>
      <c r="D667" s="60">
        <v>0.02</v>
      </c>
      <c r="E667" s="60">
        <v>80.0</v>
      </c>
      <c r="F667" s="60">
        <v>1.6</v>
      </c>
      <c r="G667" s="118" t="s">
        <v>527</v>
      </c>
      <c r="H667" s="116"/>
      <c r="I667" s="116"/>
    </row>
    <row r="668">
      <c r="A668" s="117">
        <v>46041.95222005787</v>
      </c>
      <c r="B668" s="60" t="s">
        <v>395</v>
      </c>
      <c r="C668" s="60" t="s">
        <v>326</v>
      </c>
      <c r="D668" s="60">
        <v>0.1</v>
      </c>
      <c r="E668" s="60">
        <v>10.0</v>
      </c>
      <c r="F668" s="60">
        <v>1.0</v>
      </c>
      <c r="G668" s="118" t="s">
        <v>527</v>
      </c>
      <c r="H668" s="116"/>
      <c r="I668" s="116"/>
    </row>
    <row r="669">
      <c r="A669" s="117">
        <v>46041.95173731481</v>
      </c>
      <c r="B669" s="60" t="s">
        <v>392</v>
      </c>
      <c r="C669" s="60" t="s">
        <v>429</v>
      </c>
      <c r="D669" s="60">
        <v>10.0</v>
      </c>
      <c r="E669" s="60">
        <v>1.5</v>
      </c>
      <c r="F669" s="60">
        <v>15.0</v>
      </c>
      <c r="G669" s="118" t="s">
        <v>528</v>
      </c>
      <c r="H669" s="116"/>
      <c r="I669" s="116"/>
    </row>
    <row r="670">
      <c r="A670" s="117">
        <v>46041.95173731481</v>
      </c>
      <c r="B670" s="60" t="s">
        <v>392</v>
      </c>
      <c r="C670" s="60" t="s">
        <v>233</v>
      </c>
      <c r="D670" s="60">
        <v>0.13</v>
      </c>
      <c r="E670" s="60">
        <v>18.0</v>
      </c>
      <c r="F670" s="60">
        <v>2.34</v>
      </c>
      <c r="G670" s="118" t="s">
        <v>528</v>
      </c>
      <c r="H670" s="116"/>
      <c r="I670" s="116"/>
    </row>
    <row r="671">
      <c r="A671" s="117">
        <v>46041.95173731481</v>
      </c>
      <c r="B671" s="60" t="s">
        <v>392</v>
      </c>
      <c r="C671" s="60" t="s">
        <v>89</v>
      </c>
      <c r="D671" s="60">
        <v>0.13</v>
      </c>
      <c r="E671" s="60">
        <v>58.0</v>
      </c>
      <c r="F671" s="60">
        <v>7.54</v>
      </c>
      <c r="G671" s="118" t="s">
        <v>528</v>
      </c>
      <c r="H671" s="116"/>
      <c r="I671" s="116"/>
    </row>
    <row r="672">
      <c r="A672" s="117">
        <v>46040.952243078704</v>
      </c>
      <c r="B672" s="60" t="s">
        <v>392</v>
      </c>
      <c r="C672" s="60" t="s">
        <v>202</v>
      </c>
      <c r="D672" s="60">
        <v>0.17</v>
      </c>
      <c r="E672" s="60">
        <v>64.0</v>
      </c>
      <c r="F672" s="60">
        <v>10.9</v>
      </c>
      <c r="G672" s="118" t="s">
        <v>529</v>
      </c>
      <c r="H672" s="116"/>
      <c r="I672" s="116"/>
    </row>
    <row r="673">
      <c r="A673" s="117">
        <v>46040.952243078704</v>
      </c>
      <c r="B673" s="60" t="s">
        <v>392</v>
      </c>
      <c r="C673" s="60" t="s">
        <v>325</v>
      </c>
      <c r="D673" s="60">
        <v>0.05</v>
      </c>
      <c r="E673" s="60">
        <v>64.0</v>
      </c>
      <c r="F673" s="60">
        <v>3.2</v>
      </c>
      <c r="G673" s="118" t="s">
        <v>529</v>
      </c>
      <c r="H673" s="116"/>
      <c r="I673" s="116"/>
    </row>
    <row r="674">
      <c r="A674" s="117">
        <v>46040.952243078704</v>
      </c>
      <c r="B674" s="60" t="s">
        <v>392</v>
      </c>
      <c r="C674" s="60" t="s">
        <v>429</v>
      </c>
      <c r="D674" s="60">
        <v>10.0</v>
      </c>
      <c r="E674" s="60">
        <v>1.0</v>
      </c>
      <c r="F674" s="60">
        <v>10.0</v>
      </c>
      <c r="G674" s="118" t="s">
        <v>529</v>
      </c>
      <c r="H674" s="116"/>
      <c r="I674" s="116"/>
    </row>
    <row r="675">
      <c r="A675" s="117">
        <v>46040.952243078704</v>
      </c>
      <c r="B675" s="60" t="s">
        <v>392</v>
      </c>
      <c r="C675" s="60" t="s">
        <v>212</v>
      </c>
      <c r="D675" s="60">
        <v>0.33</v>
      </c>
      <c r="E675" s="60">
        <v>10.0</v>
      </c>
      <c r="F675" s="60">
        <v>3.3</v>
      </c>
      <c r="G675" s="118" t="s">
        <v>529</v>
      </c>
      <c r="H675" s="116"/>
      <c r="I675" s="116"/>
    </row>
    <row r="676">
      <c r="A676" s="117">
        <v>46040.952243078704</v>
      </c>
      <c r="B676" s="60" t="s">
        <v>397</v>
      </c>
      <c r="C676" s="60" t="s">
        <v>87</v>
      </c>
      <c r="D676" s="60">
        <v>0.27</v>
      </c>
      <c r="E676" s="60">
        <v>110.0</v>
      </c>
      <c r="F676" s="60">
        <v>29.7</v>
      </c>
      <c r="G676" s="118" t="s">
        <v>529</v>
      </c>
      <c r="H676" s="116"/>
      <c r="I676" s="116"/>
    </row>
    <row r="677">
      <c r="A677" s="117">
        <v>46040.952243078704</v>
      </c>
      <c r="B677" s="60" t="s">
        <v>397</v>
      </c>
      <c r="C677" s="60" t="s">
        <v>508</v>
      </c>
      <c r="D677" s="60">
        <v>2.0</v>
      </c>
      <c r="E677" s="60">
        <v>1.0</v>
      </c>
      <c r="F677" s="60">
        <v>2.0</v>
      </c>
      <c r="G677" s="118" t="s">
        <v>529</v>
      </c>
      <c r="H677" s="116"/>
      <c r="I677" s="116"/>
    </row>
    <row r="678">
      <c r="A678" s="117">
        <v>46040.952243078704</v>
      </c>
      <c r="B678" s="60" t="s">
        <v>397</v>
      </c>
      <c r="C678" s="60" t="s">
        <v>328</v>
      </c>
      <c r="D678" s="60">
        <v>0.07</v>
      </c>
      <c r="E678" s="60">
        <v>21.0</v>
      </c>
      <c r="F678" s="60">
        <v>1.5</v>
      </c>
      <c r="G678" s="118" t="s">
        <v>529</v>
      </c>
      <c r="H678" s="116"/>
      <c r="I678" s="116"/>
    </row>
    <row r="679">
      <c r="A679" s="117">
        <v>46040.952243078704</v>
      </c>
      <c r="B679" s="60" t="s">
        <v>397</v>
      </c>
      <c r="C679" s="60" t="s">
        <v>152</v>
      </c>
      <c r="D679" s="60">
        <v>0.0</v>
      </c>
      <c r="E679" s="60">
        <v>1.0</v>
      </c>
      <c r="F679" s="60">
        <v>0.0</v>
      </c>
      <c r="G679" s="118" t="s">
        <v>529</v>
      </c>
      <c r="H679" s="116"/>
      <c r="I679" s="116"/>
    </row>
    <row r="680">
      <c r="A680" s="117">
        <v>46040.952243078704</v>
      </c>
      <c r="B680" s="60" t="s">
        <v>397</v>
      </c>
      <c r="C680" s="60" t="s">
        <v>164</v>
      </c>
      <c r="D680" s="60">
        <v>0.0</v>
      </c>
      <c r="E680" s="60">
        <v>1.0</v>
      </c>
      <c r="F680" s="60">
        <v>0.0</v>
      </c>
      <c r="G680" s="118" t="s">
        <v>529</v>
      </c>
      <c r="H680" s="116"/>
      <c r="I680" s="116"/>
    </row>
    <row r="681">
      <c r="A681" s="117">
        <v>46040.952243078704</v>
      </c>
      <c r="B681" s="60" t="s">
        <v>398</v>
      </c>
      <c r="C681" s="60" t="s">
        <v>325</v>
      </c>
      <c r="D681" s="60">
        <v>0.05</v>
      </c>
      <c r="E681" s="60">
        <v>25.0</v>
      </c>
      <c r="F681" s="60">
        <v>1.3</v>
      </c>
      <c r="G681" s="118" t="s">
        <v>529</v>
      </c>
      <c r="H681" s="116"/>
      <c r="I681" s="116"/>
    </row>
    <row r="682">
      <c r="A682" s="117">
        <v>46040.952243078704</v>
      </c>
      <c r="B682" s="60" t="s">
        <v>398</v>
      </c>
      <c r="C682" s="60" t="s">
        <v>111</v>
      </c>
      <c r="D682" s="60">
        <v>0.12</v>
      </c>
      <c r="E682" s="60">
        <v>32.0</v>
      </c>
      <c r="F682" s="60">
        <v>3.8</v>
      </c>
      <c r="G682" s="118" t="s">
        <v>529</v>
      </c>
      <c r="H682" s="116"/>
      <c r="I682" s="116"/>
    </row>
    <row r="683">
      <c r="A683" s="117">
        <v>46040.952243078704</v>
      </c>
      <c r="B683" s="60" t="s">
        <v>398</v>
      </c>
      <c r="C683" s="60" t="s">
        <v>89</v>
      </c>
      <c r="D683" s="60">
        <v>0.13</v>
      </c>
      <c r="E683" s="60">
        <v>39.0</v>
      </c>
      <c r="F683" s="60">
        <v>5.1</v>
      </c>
      <c r="G683" s="118" t="s">
        <v>529</v>
      </c>
      <c r="H683" s="116"/>
      <c r="I683" s="116"/>
    </row>
    <row r="684">
      <c r="A684" s="117">
        <v>46040.952243078704</v>
      </c>
      <c r="B684" s="60" t="s">
        <v>398</v>
      </c>
      <c r="C684" s="60" t="s">
        <v>125</v>
      </c>
      <c r="D684" s="60">
        <v>0.08</v>
      </c>
      <c r="E684" s="60">
        <v>19.0</v>
      </c>
      <c r="F684" s="60">
        <v>1.5</v>
      </c>
      <c r="G684" s="118" t="s">
        <v>529</v>
      </c>
      <c r="H684" s="116"/>
      <c r="I684" s="116"/>
    </row>
    <row r="685">
      <c r="A685" s="117">
        <v>46040.952243078704</v>
      </c>
      <c r="B685" s="60" t="s">
        <v>398</v>
      </c>
      <c r="C685" s="60" t="s">
        <v>320</v>
      </c>
      <c r="D685" s="60">
        <v>1.0</v>
      </c>
      <c r="E685" s="60">
        <v>1.0</v>
      </c>
      <c r="F685" s="60">
        <v>1.0</v>
      </c>
      <c r="G685" s="118" t="s">
        <v>529</v>
      </c>
      <c r="H685" s="116"/>
      <c r="I685" s="116"/>
    </row>
    <row r="686">
      <c r="A686" s="117">
        <v>46040.952243078704</v>
      </c>
      <c r="B686" s="60" t="s">
        <v>398</v>
      </c>
      <c r="C686" s="60" t="s">
        <v>314</v>
      </c>
      <c r="D686" s="60">
        <v>0.33</v>
      </c>
      <c r="E686" s="60">
        <v>32.0</v>
      </c>
      <c r="F686" s="60">
        <v>10.6</v>
      </c>
      <c r="G686" s="118" t="s">
        <v>529</v>
      </c>
      <c r="H686" s="116"/>
      <c r="I686" s="116"/>
    </row>
    <row r="687">
      <c r="A687" s="117">
        <v>46040.952243078704</v>
      </c>
      <c r="B687" s="60" t="s">
        <v>395</v>
      </c>
      <c r="C687" s="60" t="s">
        <v>417</v>
      </c>
      <c r="D687" s="60">
        <v>0.05</v>
      </c>
      <c r="E687" s="60">
        <v>112.0</v>
      </c>
      <c r="F687" s="60">
        <v>5.55</v>
      </c>
      <c r="G687" s="118" t="s">
        <v>529</v>
      </c>
      <c r="H687" s="116"/>
      <c r="I687" s="116"/>
    </row>
    <row r="688">
      <c r="A688" s="117">
        <v>46040.952243078704</v>
      </c>
      <c r="B688" s="60" t="s">
        <v>395</v>
      </c>
      <c r="C688" s="60" t="s">
        <v>429</v>
      </c>
      <c r="D688" s="60">
        <v>10.0</v>
      </c>
      <c r="E688" s="60">
        <v>1.0</v>
      </c>
      <c r="F688" s="60">
        <v>10.0</v>
      </c>
      <c r="G688" s="118" t="s">
        <v>529</v>
      </c>
      <c r="H688" s="116"/>
      <c r="I688" s="116"/>
    </row>
    <row r="689">
      <c r="A689" s="117">
        <v>46040.952243078704</v>
      </c>
      <c r="B689" s="60" t="s">
        <v>395</v>
      </c>
      <c r="C689" s="60" t="s">
        <v>129</v>
      </c>
      <c r="D689" s="60">
        <v>0.26</v>
      </c>
      <c r="E689" s="60">
        <v>10.0</v>
      </c>
      <c r="F689" s="60">
        <v>2.6</v>
      </c>
      <c r="G689" s="118" t="s">
        <v>529</v>
      </c>
      <c r="H689" s="116"/>
      <c r="I689" s="116"/>
    </row>
    <row r="690">
      <c r="A690" s="117">
        <v>46040.95181079861</v>
      </c>
      <c r="B690" s="60" t="s">
        <v>392</v>
      </c>
      <c r="C690" s="60" t="s">
        <v>202</v>
      </c>
      <c r="D690" s="60">
        <v>0.17</v>
      </c>
      <c r="E690" s="60">
        <v>64.0</v>
      </c>
      <c r="F690" s="60">
        <v>10.88</v>
      </c>
      <c r="G690" s="118" t="s">
        <v>530</v>
      </c>
      <c r="H690" s="116"/>
      <c r="I690" s="116"/>
    </row>
    <row r="691">
      <c r="A691" s="117">
        <v>46040.95181079861</v>
      </c>
      <c r="B691" s="60" t="s">
        <v>392</v>
      </c>
      <c r="C691" s="60" t="s">
        <v>325</v>
      </c>
      <c r="D691" s="60">
        <v>0.05</v>
      </c>
      <c r="E691" s="60">
        <v>64.0</v>
      </c>
      <c r="F691" s="60">
        <v>3.2</v>
      </c>
      <c r="G691" s="118" t="s">
        <v>530</v>
      </c>
      <c r="H691" s="116"/>
      <c r="I691" s="116"/>
    </row>
    <row r="692">
      <c r="A692" s="117">
        <v>46040.95181079861</v>
      </c>
      <c r="B692" s="60" t="s">
        <v>392</v>
      </c>
      <c r="C692" s="60" t="s">
        <v>429</v>
      </c>
      <c r="D692" s="60">
        <v>10.0</v>
      </c>
      <c r="E692" s="60">
        <v>1.0</v>
      </c>
      <c r="F692" s="60">
        <v>10.0</v>
      </c>
      <c r="G692" s="118" t="s">
        <v>530</v>
      </c>
      <c r="H692" s="116"/>
      <c r="I692" s="116"/>
    </row>
    <row r="693">
      <c r="A693" s="117">
        <v>46040.95181079861</v>
      </c>
      <c r="B693" s="60" t="s">
        <v>392</v>
      </c>
      <c r="C693" s="60" t="s">
        <v>212</v>
      </c>
      <c r="D693" s="60">
        <v>0.33</v>
      </c>
      <c r="E693" s="60">
        <v>10.0</v>
      </c>
      <c r="F693" s="60">
        <v>3.3</v>
      </c>
      <c r="G693" s="118" t="s">
        <v>530</v>
      </c>
      <c r="H693" s="116"/>
      <c r="I693" s="116"/>
    </row>
    <row r="694">
      <c r="A694" s="117">
        <v>46040.95181079861</v>
      </c>
      <c r="B694" s="60" t="s">
        <v>397</v>
      </c>
      <c r="C694" s="60" t="s">
        <v>87</v>
      </c>
      <c r="D694" s="60">
        <v>0.27</v>
      </c>
      <c r="E694" s="60">
        <v>110.0</v>
      </c>
      <c r="F694" s="60">
        <v>29.7</v>
      </c>
      <c r="G694" s="118" t="s">
        <v>530</v>
      </c>
      <c r="H694" s="116"/>
      <c r="I694" s="116"/>
    </row>
    <row r="695">
      <c r="A695" s="117">
        <v>46040.95181079861</v>
      </c>
      <c r="B695" s="60" t="s">
        <v>397</v>
      </c>
      <c r="C695" s="60" t="s">
        <v>508</v>
      </c>
      <c r="D695" s="60">
        <v>2.0</v>
      </c>
      <c r="E695" s="60">
        <v>1.0</v>
      </c>
      <c r="F695" s="60">
        <v>2.0</v>
      </c>
      <c r="G695" s="118" t="s">
        <v>530</v>
      </c>
      <c r="H695" s="116"/>
      <c r="I695" s="116"/>
    </row>
    <row r="696">
      <c r="A696" s="117">
        <v>46040.95181079861</v>
      </c>
      <c r="B696" s="60" t="s">
        <v>397</v>
      </c>
      <c r="C696" s="60" t="s">
        <v>328</v>
      </c>
      <c r="D696" s="60">
        <v>0.07</v>
      </c>
      <c r="E696" s="60">
        <v>12.0</v>
      </c>
      <c r="F696" s="60">
        <v>0.84</v>
      </c>
      <c r="G696" s="118" t="s">
        <v>530</v>
      </c>
      <c r="H696" s="116"/>
      <c r="I696" s="116"/>
    </row>
    <row r="697">
      <c r="A697" s="117">
        <v>46040.95181079861</v>
      </c>
      <c r="B697" s="60" t="s">
        <v>397</v>
      </c>
      <c r="C697" s="60" t="s">
        <v>152</v>
      </c>
      <c r="D697" s="60">
        <v>0.0</v>
      </c>
      <c r="E697" s="60">
        <v>1.0</v>
      </c>
      <c r="F697" s="60">
        <v>0.0</v>
      </c>
      <c r="G697" s="118" t="s">
        <v>530</v>
      </c>
      <c r="H697" s="116"/>
      <c r="I697" s="116"/>
    </row>
    <row r="698">
      <c r="A698" s="117">
        <v>46040.95181079861</v>
      </c>
      <c r="B698" s="60" t="s">
        <v>397</v>
      </c>
      <c r="C698" s="60" t="s">
        <v>164</v>
      </c>
      <c r="D698" s="60">
        <v>0.0</v>
      </c>
      <c r="E698" s="60">
        <v>1.0</v>
      </c>
      <c r="F698" s="60">
        <v>0.0</v>
      </c>
      <c r="G698" s="118" t="s">
        <v>530</v>
      </c>
      <c r="H698" s="116"/>
      <c r="I698" s="116"/>
    </row>
    <row r="699">
      <c r="A699" s="117">
        <v>46040.95181079861</v>
      </c>
      <c r="B699" s="60" t="s">
        <v>398</v>
      </c>
      <c r="C699" s="60" t="s">
        <v>325</v>
      </c>
      <c r="D699" s="60">
        <v>0.05</v>
      </c>
      <c r="E699" s="60">
        <v>25.0</v>
      </c>
      <c r="F699" s="60">
        <v>1.25</v>
      </c>
      <c r="G699" s="118" t="s">
        <v>530</v>
      </c>
      <c r="H699" s="116"/>
      <c r="I699" s="116"/>
    </row>
    <row r="700">
      <c r="A700" s="117">
        <v>46040.95181079861</v>
      </c>
      <c r="B700" s="60" t="s">
        <v>398</v>
      </c>
      <c r="C700" s="60" t="s">
        <v>111</v>
      </c>
      <c r="D700" s="60">
        <v>0.12</v>
      </c>
      <c r="E700" s="60">
        <v>32.0</v>
      </c>
      <c r="F700" s="60">
        <v>3.84</v>
      </c>
      <c r="G700" s="118" t="s">
        <v>530</v>
      </c>
      <c r="H700" s="116"/>
      <c r="I700" s="116"/>
    </row>
    <row r="701">
      <c r="A701" s="117">
        <v>46040.95181079861</v>
      </c>
      <c r="B701" s="60" t="s">
        <v>398</v>
      </c>
      <c r="C701" s="60" t="s">
        <v>89</v>
      </c>
      <c r="D701" s="60">
        <v>0.13</v>
      </c>
      <c r="E701" s="60">
        <v>39.0</v>
      </c>
      <c r="F701" s="60">
        <v>5.07</v>
      </c>
      <c r="G701" s="118" t="s">
        <v>530</v>
      </c>
      <c r="H701" s="116"/>
      <c r="I701" s="116"/>
    </row>
    <row r="702">
      <c r="A702" s="117">
        <v>46040.95181079861</v>
      </c>
      <c r="B702" s="60" t="s">
        <v>398</v>
      </c>
      <c r="C702" s="60" t="s">
        <v>125</v>
      </c>
      <c r="D702" s="60">
        <v>0.08</v>
      </c>
      <c r="E702" s="60">
        <v>19.0</v>
      </c>
      <c r="F702" s="60">
        <v>1.52</v>
      </c>
      <c r="G702" s="118" t="s">
        <v>530</v>
      </c>
      <c r="H702" s="116"/>
      <c r="I702" s="116"/>
    </row>
    <row r="703">
      <c r="A703" s="117">
        <v>46040.95181079861</v>
      </c>
      <c r="B703" s="60" t="s">
        <v>398</v>
      </c>
      <c r="C703" s="60" t="s">
        <v>531</v>
      </c>
      <c r="D703" s="60">
        <v>1.0</v>
      </c>
      <c r="E703" s="60">
        <v>1.0</v>
      </c>
      <c r="F703" s="60">
        <v>1.0</v>
      </c>
      <c r="G703" s="118" t="s">
        <v>530</v>
      </c>
      <c r="H703" s="116"/>
      <c r="I703" s="116"/>
    </row>
    <row r="704">
      <c r="A704" s="117">
        <v>46040.95181079861</v>
      </c>
      <c r="B704" s="60" t="s">
        <v>398</v>
      </c>
      <c r="C704" s="60" t="s">
        <v>532</v>
      </c>
      <c r="D704" s="60">
        <v>1.0</v>
      </c>
      <c r="E704" s="60">
        <v>10.6</v>
      </c>
      <c r="F704" s="60">
        <v>10.6</v>
      </c>
      <c r="G704" s="118" t="s">
        <v>530</v>
      </c>
      <c r="H704" s="116"/>
      <c r="I704" s="116"/>
    </row>
    <row r="705">
      <c r="A705" s="117">
        <v>46040.95181079861</v>
      </c>
      <c r="B705" s="60" t="s">
        <v>395</v>
      </c>
      <c r="C705" s="60" t="s">
        <v>533</v>
      </c>
      <c r="D705" s="60">
        <v>1.0</v>
      </c>
      <c r="E705" s="60">
        <v>5.6</v>
      </c>
      <c r="F705" s="60">
        <v>5.55</v>
      </c>
      <c r="G705" s="118" t="s">
        <v>530</v>
      </c>
      <c r="H705" s="116"/>
      <c r="I705" s="116"/>
    </row>
    <row r="706">
      <c r="A706" s="117">
        <v>46040.95181079861</v>
      </c>
      <c r="B706" s="60" t="s">
        <v>395</v>
      </c>
      <c r="C706" s="60" t="s">
        <v>429</v>
      </c>
      <c r="D706" s="60">
        <v>10.0</v>
      </c>
      <c r="E706" s="60">
        <v>1.0</v>
      </c>
      <c r="F706" s="60">
        <v>10.0</v>
      </c>
      <c r="G706" s="118" t="s">
        <v>530</v>
      </c>
      <c r="H706" s="116"/>
      <c r="I706" s="116"/>
    </row>
    <row r="707">
      <c r="A707" s="117">
        <v>46040.95181079861</v>
      </c>
      <c r="B707" s="60" t="s">
        <v>395</v>
      </c>
      <c r="C707" s="60" t="s">
        <v>129</v>
      </c>
      <c r="D707" s="60">
        <v>0.26</v>
      </c>
      <c r="E707" s="60">
        <v>10.0</v>
      </c>
      <c r="F707" s="60">
        <v>2.6</v>
      </c>
      <c r="G707" s="118" t="s">
        <v>530</v>
      </c>
      <c r="H707" s="116"/>
      <c r="I707" s="116"/>
    </row>
    <row r="708">
      <c r="A708" s="117">
        <v>46039.95171673611</v>
      </c>
      <c r="B708" s="60" t="s">
        <v>392</v>
      </c>
      <c r="C708" s="60" t="s">
        <v>534</v>
      </c>
      <c r="D708" s="60">
        <v>25.0</v>
      </c>
      <c r="E708" s="60">
        <v>0.5</v>
      </c>
      <c r="F708" s="60">
        <v>12.5</v>
      </c>
      <c r="G708" s="118" t="s">
        <v>535</v>
      </c>
      <c r="H708" s="116"/>
      <c r="I708" s="116"/>
    </row>
    <row r="709">
      <c r="A709" s="117">
        <v>46039.95171673611</v>
      </c>
      <c r="B709" s="60" t="s">
        <v>392</v>
      </c>
      <c r="C709" s="60" t="s">
        <v>233</v>
      </c>
      <c r="D709" s="60">
        <v>0.13</v>
      </c>
      <c r="E709" s="60">
        <v>12.0</v>
      </c>
      <c r="F709" s="60">
        <v>1.56</v>
      </c>
      <c r="G709" s="118" t="s">
        <v>535</v>
      </c>
      <c r="H709" s="116"/>
      <c r="I709" s="116"/>
    </row>
    <row r="710">
      <c r="A710" s="117">
        <v>46039.95171673611</v>
      </c>
      <c r="B710" s="60" t="s">
        <v>392</v>
      </c>
      <c r="C710" s="60" t="s">
        <v>325</v>
      </c>
      <c r="D710" s="60">
        <v>0.05</v>
      </c>
      <c r="E710" s="60">
        <v>60.0</v>
      </c>
      <c r="F710" s="60">
        <v>3.0</v>
      </c>
      <c r="G710" s="118" t="s">
        <v>535</v>
      </c>
      <c r="H710" s="116"/>
      <c r="I710" s="116"/>
    </row>
    <row r="711">
      <c r="A711" s="117">
        <v>46039.95171673611</v>
      </c>
      <c r="B711" s="60" t="s">
        <v>394</v>
      </c>
      <c r="C711" s="60" t="s">
        <v>89</v>
      </c>
      <c r="D711" s="60">
        <v>0.13</v>
      </c>
      <c r="E711" s="60">
        <v>53.8</v>
      </c>
      <c r="F711" s="60">
        <v>7.0</v>
      </c>
      <c r="G711" s="118" t="s">
        <v>535</v>
      </c>
      <c r="H711" s="116"/>
      <c r="I711" s="116"/>
    </row>
    <row r="712">
      <c r="A712" s="117">
        <v>46039.95171673611</v>
      </c>
      <c r="B712" s="60" t="s">
        <v>395</v>
      </c>
      <c r="C712" s="60" t="s">
        <v>485</v>
      </c>
      <c r="D712" s="60">
        <v>7.0</v>
      </c>
      <c r="E712" s="60">
        <v>1.0</v>
      </c>
      <c r="F712" s="60">
        <v>7.0</v>
      </c>
      <c r="G712" s="118" t="s">
        <v>535</v>
      </c>
      <c r="H712" s="116"/>
      <c r="I712" s="116"/>
    </row>
    <row r="713">
      <c r="A713" s="117">
        <v>46039.95171673611</v>
      </c>
      <c r="B713" s="60" t="s">
        <v>395</v>
      </c>
      <c r="C713" s="60" t="s">
        <v>523</v>
      </c>
      <c r="D713" s="60">
        <v>21.0</v>
      </c>
      <c r="E713" s="60">
        <v>1.0</v>
      </c>
      <c r="F713" s="60">
        <v>21.0</v>
      </c>
      <c r="G713" s="118" t="s">
        <v>535</v>
      </c>
      <c r="H713" s="116"/>
      <c r="I713" s="116"/>
    </row>
    <row r="714">
      <c r="A714" s="117">
        <v>46039.95171673611</v>
      </c>
      <c r="B714" s="60" t="s">
        <v>395</v>
      </c>
      <c r="C714" s="60" t="s">
        <v>328</v>
      </c>
      <c r="D714" s="60">
        <v>0.07</v>
      </c>
      <c r="E714" s="60">
        <v>14.3</v>
      </c>
      <c r="F714" s="60">
        <v>1.0</v>
      </c>
      <c r="G714" s="118" t="s">
        <v>535</v>
      </c>
      <c r="H714" s="116"/>
      <c r="I714" s="116"/>
    </row>
    <row r="715">
      <c r="A715" s="117">
        <v>46039.95171673611</v>
      </c>
      <c r="B715" s="60" t="s">
        <v>395</v>
      </c>
      <c r="C715" s="60" t="s">
        <v>163</v>
      </c>
      <c r="D715" s="60">
        <v>0.03</v>
      </c>
      <c r="E715" s="60">
        <v>33.3</v>
      </c>
      <c r="F715" s="60">
        <v>1.0</v>
      </c>
      <c r="G715" s="118" t="s">
        <v>535</v>
      </c>
      <c r="H715" s="116"/>
      <c r="I715" s="116"/>
    </row>
    <row r="716">
      <c r="A716" s="117">
        <v>46039.95171673611</v>
      </c>
      <c r="B716" s="60" t="s">
        <v>395</v>
      </c>
      <c r="C716" s="60" t="s">
        <v>260</v>
      </c>
      <c r="D716" s="60">
        <v>0.0</v>
      </c>
      <c r="E716" s="60">
        <v>14.0</v>
      </c>
      <c r="F716" s="60">
        <v>0.0</v>
      </c>
      <c r="G716" s="118" t="s">
        <v>535</v>
      </c>
      <c r="H716" s="116"/>
      <c r="I716" s="116"/>
    </row>
    <row r="717">
      <c r="A717" s="117">
        <v>46039.95171673611</v>
      </c>
      <c r="B717" s="60" t="s">
        <v>395</v>
      </c>
      <c r="C717" s="60" t="s">
        <v>205</v>
      </c>
      <c r="D717" s="60">
        <v>0.08</v>
      </c>
      <c r="E717" s="60">
        <v>40.0</v>
      </c>
      <c r="F717" s="60">
        <v>3.2</v>
      </c>
      <c r="G717" s="118" t="s">
        <v>535</v>
      </c>
      <c r="H717" s="116"/>
      <c r="I717" s="116"/>
    </row>
    <row r="718">
      <c r="A718" s="117">
        <v>46038.95171252315</v>
      </c>
      <c r="B718" s="60" t="s">
        <v>392</v>
      </c>
      <c r="C718" s="60" t="s">
        <v>534</v>
      </c>
      <c r="D718" s="60">
        <v>25.0</v>
      </c>
      <c r="E718" s="60">
        <v>0.5</v>
      </c>
      <c r="F718" s="60">
        <v>12.5</v>
      </c>
      <c r="G718" s="118" t="s">
        <v>536</v>
      </c>
      <c r="H718" s="116"/>
      <c r="I718" s="116"/>
    </row>
    <row r="719">
      <c r="A719" s="117">
        <v>46038.95171252315</v>
      </c>
      <c r="B719" s="60" t="s">
        <v>392</v>
      </c>
      <c r="C719" s="60" t="s">
        <v>233</v>
      </c>
      <c r="D719" s="60">
        <v>0.13</v>
      </c>
      <c r="E719" s="60">
        <v>18.0</v>
      </c>
      <c r="F719" s="60">
        <v>2.34</v>
      </c>
      <c r="G719" s="118" t="s">
        <v>536</v>
      </c>
      <c r="H719" s="116"/>
      <c r="I719" s="116"/>
    </row>
    <row r="720">
      <c r="A720" s="117">
        <v>46038.95171252315</v>
      </c>
      <c r="B720" s="60" t="s">
        <v>392</v>
      </c>
      <c r="C720" s="60" t="s">
        <v>280</v>
      </c>
      <c r="D720" s="60">
        <v>0.13</v>
      </c>
      <c r="E720" s="60">
        <v>65.0</v>
      </c>
      <c r="F720" s="60">
        <v>8.45</v>
      </c>
      <c r="G720" s="118" t="s">
        <v>536</v>
      </c>
      <c r="H720" s="116"/>
      <c r="I720" s="116"/>
    </row>
    <row r="721">
      <c r="A721" s="117">
        <v>46038.95171252315</v>
      </c>
      <c r="B721" s="60" t="s">
        <v>394</v>
      </c>
      <c r="C721" s="60" t="s">
        <v>218</v>
      </c>
      <c r="D721" s="60">
        <v>0.08</v>
      </c>
      <c r="E721" s="60">
        <v>85.0</v>
      </c>
      <c r="F721" s="60">
        <v>6.8</v>
      </c>
      <c r="G721" s="118" t="s">
        <v>536</v>
      </c>
      <c r="H721" s="116"/>
      <c r="I721" s="116"/>
    </row>
    <row r="722">
      <c r="A722" s="117">
        <v>46038.95171252315</v>
      </c>
      <c r="B722" s="60" t="s">
        <v>395</v>
      </c>
      <c r="C722" s="60" t="s">
        <v>439</v>
      </c>
      <c r="D722" s="60">
        <v>0.31</v>
      </c>
      <c r="E722" s="60">
        <v>70.0</v>
      </c>
      <c r="F722" s="60">
        <v>21.7</v>
      </c>
      <c r="G722" s="118" t="s">
        <v>536</v>
      </c>
      <c r="H722" s="116"/>
      <c r="I722" s="116"/>
    </row>
    <row r="723">
      <c r="A723" s="117">
        <v>46038.95171252315</v>
      </c>
      <c r="B723" s="60" t="s">
        <v>395</v>
      </c>
      <c r="C723" s="60" t="s">
        <v>537</v>
      </c>
      <c r="D723" s="60">
        <v>1.0</v>
      </c>
      <c r="E723" s="60">
        <v>13.0</v>
      </c>
      <c r="F723" s="60">
        <v>13.0</v>
      </c>
      <c r="G723" s="118" t="s">
        <v>536</v>
      </c>
      <c r="H723" s="116"/>
      <c r="I723" s="116"/>
    </row>
    <row r="724">
      <c r="A724" s="117">
        <v>46038.95171252315</v>
      </c>
      <c r="B724" s="60" t="s">
        <v>395</v>
      </c>
      <c r="C724" s="60" t="s">
        <v>479</v>
      </c>
      <c r="D724" s="60">
        <v>2.5</v>
      </c>
      <c r="E724" s="60">
        <v>1.0</v>
      </c>
      <c r="F724" s="60">
        <v>2.5</v>
      </c>
      <c r="G724" s="118" t="s">
        <v>536</v>
      </c>
      <c r="H724" s="116"/>
      <c r="I724" s="116"/>
    </row>
    <row r="725">
      <c r="A725" s="117">
        <v>46037.95172203703</v>
      </c>
      <c r="B725" s="60" t="s">
        <v>392</v>
      </c>
      <c r="C725" s="60" t="s">
        <v>170</v>
      </c>
      <c r="D725" s="60">
        <v>0.0</v>
      </c>
      <c r="E725" s="60">
        <v>2.5</v>
      </c>
      <c r="F725" s="60">
        <v>0.0</v>
      </c>
      <c r="G725" s="118" t="s">
        <v>538</v>
      </c>
      <c r="H725" s="116"/>
      <c r="I725" s="116"/>
    </row>
    <row r="726">
      <c r="A726" s="117">
        <v>46037.95172203703</v>
      </c>
      <c r="B726" s="60" t="s">
        <v>392</v>
      </c>
      <c r="C726" s="60" t="s">
        <v>212</v>
      </c>
      <c r="D726" s="60">
        <v>0.33</v>
      </c>
      <c r="E726" s="60">
        <v>10.0</v>
      </c>
      <c r="F726" s="60">
        <v>3.3</v>
      </c>
      <c r="G726" s="118" t="s">
        <v>538</v>
      </c>
      <c r="H726" s="116"/>
      <c r="I726" s="116"/>
    </row>
    <row r="727">
      <c r="A727" s="117">
        <v>46037.95172203703</v>
      </c>
      <c r="B727" s="60" t="s">
        <v>392</v>
      </c>
      <c r="C727" s="60" t="s">
        <v>429</v>
      </c>
      <c r="D727" s="60">
        <v>10.0</v>
      </c>
      <c r="E727" s="60">
        <v>1.0</v>
      </c>
      <c r="F727" s="60">
        <v>10.0</v>
      </c>
      <c r="G727" s="118" t="s">
        <v>538</v>
      </c>
      <c r="H727" s="116"/>
      <c r="I727" s="116"/>
    </row>
    <row r="728">
      <c r="A728" s="117">
        <v>46037.95172203703</v>
      </c>
      <c r="B728" s="60" t="s">
        <v>392</v>
      </c>
      <c r="C728" s="60" t="s">
        <v>218</v>
      </c>
      <c r="D728" s="60">
        <v>0.08</v>
      </c>
      <c r="E728" s="60">
        <v>45.0</v>
      </c>
      <c r="F728" s="60">
        <v>3.6</v>
      </c>
      <c r="G728" s="118" t="s">
        <v>538</v>
      </c>
      <c r="H728" s="116"/>
      <c r="I728" s="116"/>
    </row>
    <row r="729">
      <c r="A729" s="117">
        <v>46037.95172203703</v>
      </c>
      <c r="B729" s="60" t="s">
        <v>395</v>
      </c>
      <c r="C729" s="60" t="s">
        <v>205</v>
      </c>
      <c r="D729" s="60">
        <v>0.08</v>
      </c>
      <c r="E729" s="60">
        <v>20.0</v>
      </c>
      <c r="F729" s="60">
        <v>1.6</v>
      </c>
      <c r="G729" s="118" t="s">
        <v>538</v>
      </c>
      <c r="H729" s="116"/>
      <c r="I729" s="116"/>
    </row>
    <row r="730">
      <c r="A730" s="117">
        <v>46037.95172203703</v>
      </c>
      <c r="B730" s="60" t="s">
        <v>395</v>
      </c>
      <c r="C730" s="60" t="s">
        <v>426</v>
      </c>
      <c r="D730" s="60">
        <v>1.0</v>
      </c>
      <c r="E730" s="60">
        <v>24.2</v>
      </c>
      <c r="F730" s="60">
        <v>24.2</v>
      </c>
      <c r="G730" s="118" t="s">
        <v>538</v>
      </c>
      <c r="H730" s="116"/>
      <c r="I730" s="116"/>
    </row>
    <row r="731">
      <c r="A731" s="117">
        <v>46037.95172203703</v>
      </c>
      <c r="B731" s="60" t="s">
        <v>395</v>
      </c>
      <c r="C731" s="60" t="s">
        <v>539</v>
      </c>
      <c r="D731" s="60">
        <v>16.0</v>
      </c>
      <c r="E731" s="60">
        <v>0.5</v>
      </c>
      <c r="F731" s="60">
        <v>8.0</v>
      </c>
      <c r="G731" s="118" t="s">
        <v>538</v>
      </c>
      <c r="H731" s="116"/>
      <c r="I731" s="116"/>
    </row>
    <row r="732">
      <c r="A732" s="117">
        <v>46036.95172269676</v>
      </c>
      <c r="B732" s="60" t="s">
        <v>392</v>
      </c>
      <c r="C732" s="60" t="s">
        <v>170</v>
      </c>
      <c r="D732" s="60">
        <v>0.0</v>
      </c>
      <c r="E732" s="60">
        <v>2.5</v>
      </c>
      <c r="F732" s="60">
        <v>0.0</v>
      </c>
      <c r="G732" s="118" t="s">
        <v>540</v>
      </c>
      <c r="H732" s="116"/>
      <c r="I732" s="116"/>
    </row>
    <row r="733">
      <c r="A733" s="117">
        <v>46036.95172269676</v>
      </c>
      <c r="B733" s="60" t="s">
        <v>392</v>
      </c>
      <c r="C733" s="60" t="s">
        <v>212</v>
      </c>
      <c r="D733" s="60">
        <v>0.33</v>
      </c>
      <c r="E733" s="60">
        <v>10.0</v>
      </c>
      <c r="F733" s="60">
        <v>3.3</v>
      </c>
      <c r="G733" s="118" t="s">
        <v>540</v>
      </c>
      <c r="H733" s="116"/>
      <c r="I733" s="116"/>
    </row>
    <row r="734">
      <c r="A734" s="117">
        <v>46036.95172269676</v>
      </c>
      <c r="B734" s="60" t="s">
        <v>392</v>
      </c>
      <c r="C734" s="60" t="s">
        <v>506</v>
      </c>
      <c r="D734" s="60">
        <v>3.0</v>
      </c>
      <c r="E734" s="60">
        <v>1.0</v>
      </c>
      <c r="F734" s="60">
        <v>3.0</v>
      </c>
      <c r="G734" s="118" t="s">
        <v>540</v>
      </c>
      <c r="H734" s="116"/>
      <c r="I734" s="116"/>
    </row>
    <row r="735">
      <c r="A735" s="117">
        <v>46036.95172269676</v>
      </c>
      <c r="B735" s="60" t="s">
        <v>392</v>
      </c>
      <c r="C735" s="60" t="s">
        <v>429</v>
      </c>
      <c r="D735" s="60">
        <v>10.0</v>
      </c>
      <c r="E735" s="60">
        <v>1.0</v>
      </c>
      <c r="F735" s="60">
        <v>10.0</v>
      </c>
      <c r="G735" s="118" t="s">
        <v>540</v>
      </c>
      <c r="H735" s="116"/>
      <c r="I735" s="116"/>
    </row>
    <row r="736">
      <c r="A736" s="117">
        <v>46036.95172269676</v>
      </c>
      <c r="B736" s="60" t="s">
        <v>394</v>
      </c>
      <c r="C736" s="60" t="s">
        <v>111</v>
      </c>
      <c r="D736" s="60">
        <v>0.12</v>
      </c>
      <c r="E736" s="60">
        <v>23.0</v>
      </c>
      <c r="F736" s="60">
        <v>2.76</v>
      </c>
      <c r="G736" s="118" t="s">
        <v>540</v>
      </c>
      <c r="H736" s="116"/>
      <c r="I736" s="116"/>
    </row>
    <row r="737">
      <c r="A737" s="117">
        <v>46036.95172269676</v>
      </c>
      <c r="B737" s="60" t="s">
        <v>394</v>
      </c>
      <c r="C737" s="60" t="s">
        <v>325</v>
      </c>
      <c r="D737" s="60">
        <v>0.05</v>
      </c>
      <c r="E737" s="60">
        <v>30.0</v>
      </c>
      <c r="F737" s="60">
        <v>1.5</v>
      </c>
      <c r="G737" s="118" t="s">
        <v>540</v>
      </c>
      <c r="H737" s="116"/>
      <c r="I737" s="116"/>
    </row>
    <row r="738">
      <c r="A738" s="117">
        <v>46036.95172269676</v>
      </c>
      <c r="B738" s="60" t="s">
        <v>397</v>
      </c>
      <c r="C738" s="60" t="s">
        <v>218</v>
      </c>
      <c r="D738" s="60">
        <v>0.08</v>
      </c>
      <c r="E738" s="60">
        <v>65.0</v>
      </c>
      <c r="F738" s="60">
        <v>5.2</v>
      </c>
      <c r="G738" s="118" t="s">
        <v>540</v>
      </c>
      <c r="H738" s="116"/>
      <c r="I738" s="116"/>
    </row>
    <row r="739">
      <c r="A739" s="117">
        <v>46036.95172269676</v>
      </c>
      <c r="B739" s="60" t="s">
        <v>397</v>
      </c>
      <c r="C739" s="60" t="s">
        <v>198</v>
      </c>
      <c r="D739" s="60">
        <v>0.6</v>
      </c>
      <c r="E739" s="60">
        <v>13.0</v>
      </c>
      <c r="F739" s="60">
        <v>7.8</v>
      </c>
      <c r="G739" s="118" t="s">
        <v>540</v>
      </c>
      <c r="H739" s="116"/>
      <c r="I739" s="116"/>
    </row>
    <row r="740">
      <c r="A740" s="117">
        <v>46036.95172269676</v>
      </c>
      <c r="B740" s="60" t="s">
        <v>395</v>
      </c>
      <c r="C740" s="60" t="s">
        <v>541</v>
      </c>
      <c r="D740" s="60">
        <v>1.0</v>
      </c>
      <c r="E740" s="60">
        <v>120.0</v>
      </c>
      <c r="F740" s="60">
        <v>12.13</v>
      </c>
      <c r="G740" s="118" t="s">
        <v>540</v>
      </c>
      <c r="H740" s="116"/>
      <c r="I740" s="116"/>
    </row>
    <row r="741">
      <c r="A741" s="117">
        <v>46036.95172269676</v>
      </c>
      <c r="B741" s="60" t="s">
        <v>395</v>
      </c>
      <c r="C741" s="60" t="s">
        <v>447</v>
      </c>
      <c r="D741" s="60">
        <v>0.3</v>
      </c>
      <c r="E741" s="60">
        <v>130.0</v>
      </c>
      <c r="F741" s="60">
        <v>39.0</v>
      </c>
      <c r="G741" s="118" t="s">
        <v>540</v>
      </c>
      <c r="H741" s="116"/>
      <c r="I741" s="116"/>
    </row>
    <row r="742">
      <c r="A742" s="117">
        <v>46036.95172269676</v>
      </c>
      <c r="B742" s="60" t="s">
        <v>395</v>
      </c>
      <c r="C742" s="60" t="s">
        <v>437</v>
      </c>
      <c r="D742" s="60">
        <v>0.03</v>
      </c>
      <c r="E742" s="60">
        <v>113.0</v>
      </c>
      <c r="F742" s="60">
        <v>3.39</v>
      </c>
      <c r="G742" s="118" t="s">
        <v>540</v>
      </c>
      <c r="H742" s="116"/>
      <c r="I742" s="116"/>
    </row>
    <row r="743">
      <c r="A743" s="117">
        <v>46036.95172269676</v>
      </c>
      <c r="B743" s="60" t="s">
        <v>395</v>
      </c>
      <c r="C743" s="60" t="s">
        <v>104</v>
      </c>
      <c r="D743" s="60">
        <v>0.05</v>
      </c>
      <c r="E743" s="60">
        <v>153.0</v>
      </c>
      <c r="F743" s="60">
        <v>7.65</v>
      </c>
      <c r="G743" s="118" t="s">
        <v>540</v>
      </c>
      <c r="H743" s="116"/>
      <c r="I743" s="116"/>
    </row>
    <row r="744">
      <c r="A744" s="117">
        <v>46036.95172269676</v>
      </c>
      <c r="B744" s="60" t="s">
        <v>395</v>
      </c>
      <c r="C744" s="60" t="s">
        <v>352</v>
      </c>
      <c r="D744" s="60">
        <v>0.0</v>
      </c>
      <c r="E744" s="60">
        <v>46.0</v>
      </c>
      <c r="F744" s="60">
        <v>0.0</v>
      </c>
      <c r="G744" s="118" t="s">
        <v>540</v>
      </c>
      <c r="H744" s="116"/>
      <c r="I744" s="116"/>
    </row>
    <row r="745">
      <c r="A745" s="117">
        <v>46036.95172269676</v>
      </c>
      <c r="B745" s="60" t="s">
        <v>395</v>
      </c>
      <c r="C745" s="60" t="s">
        <v>115</v>
      </c>
      <c r="D745" s="60">
        <v>0.03</v>
      </c>
      <c r="E745" s="60">
        <v>333.0</v>
      </c>
      <c r="F745" s="60">
        <v>9.99</v>
      </c>
      <c r="G745" s="118" t="s">
        <v>540</v>
      </c>
      <c r="H745" s="116"/>
      <c r="I745" s="116"/>
    </row>
    <row r="746">
      <c r="A746" s="117">
        <v>46036.95172269676</v>
      </c>
      <c r="B746" s="60" t="s">
        <v>395</v>
      </c>
      <c r="C746" s="60" t="s">
        <v>163</v>
      </c>
      <c r="D746" s="60">
        <v>0.03</v>
      </c>
      <c r="E746" s="60">
        <v>117.0</v>
      </c>
      <c r="F746" s="60">
        <v>3.51</v>
      </c>
      <c r="G746" s="118" t="s">
        <v>540</v>
      </c>
      <c r="H746" s="116"/>
      <c r="I746" s="116"/>
    </row>
    <row r="747">
      <c r="A747" s="117">
        <v>46036.95172269676</v>
      </c>
      <c r="B747" s="60" t="s">
        <v>395</v>
      </c>
      <c r="C747" s="60" t="s">
        <v>215</v>
      </c>
      <c r="D747" s="60">
        <v>0.03</v>
      </c>
      <c r="E747" s="60">
        <v>12.0</v>
      </c>
      <c r="F747" s="60">
        <v>0.36</v>
      </c>
      <c r="G747" s="118" t="s">
        <v>540</v>
      </c>
      <c r="H747" s="116"/>
      <c r="I747" s="116"/>
    </row>
    <row r="748">
      <c r="A748" s="117">
        <v>46036.95172269676</v>
      </c>
      <c r="B748" s="60" t="s">
        <v>395</v>
      </c>
      <c r="C748" s="60" t="s">
        <v>213</v>
      </c>
      <c r="D748" s="60">
        <v>0.0</v>
      </c>
      <c r="E748" s="60">
        <v>51.0</v>
      </c>
      <c r="F748" s="60">
        <v>0.0</v>
      </c>
      <c r="G748" s="118" t="s">
        <v>540</v>
      </c>
      <c r="H748" s="116"/>
      <c r="I748" s="116"/>
    </row>
    <row r="749">
      <c r="A749" s="117">
        <v>46036.95172269676</v>
      </c>
      <c r="B749" s="60" t="s">
        <v>395</v>
      </c>
      <c r="C749" s="60" t="s">
        <v>214</v>
      </c>
      <c r="D749" s="60">
        <v>0.07</v>
      </c>
      <c r="E749" s="60">
        <v>33.0</v>
      </c>
      <c r="F749" s="60">
        <v>2.31</v>
      </c>
      <c r="G749" s="118" t="s">
        <v>540</v>
      </c>
      <c r="H749" s="116"/>
      <c r="I749" s="116"/>
    </row>
    <row r="750">
      <c r="A750" s="117">
        <v>46036.95172269676</v>
      </c>
      <c r="B750" s="60" t="s">
        <v>395</v>
      </c>
      <c r="C750" s="60" t="s">
        <v>542</v>
      </c>
      <c r="D750" s="60">
        <v>1.0</v>
      </c>
      <c r="E750" s="60">
        <v>10.0</v>
      </c>
      <c r="F750" s="60">
        <v>10.0</v>
      </c>
      <c r="G750" s="118" t="s">
        <v>540</v>
      </c>
      <c r="H750" s="116"/>
      <c r="I750" s="116"/>
    </row>
    <row r="751">
      <c r="A751" s="117">
        <v>46036.95172269676</v>
      </c>
      <c r="B751" s="60" t="s">
        <v>395</v>
      </c>
      <c r="C751" s="60" t="s">
        <v>543</v>
      </c>
      <c r="D751" s="60">
        <v>0.23</v>
      </c>
      <c r="E751" s="60">
        <v>191.0</v>
      </c>
      <c r="F751" s="60">
        <v>43.93</v>
      </c>
      <c r="G751" s="118" t="s">
        <v>540</v>
      </c>
      <c r="H751" s="116"/>
      <c r="I751" s="116"/>
    </row>
    <row r="752">
      <c r="A752" s="117">
        <v>46036.95172269676</v>
      </c>
      <c r="B752" s="60" t="s">
        <v>395</v>
      </c>
      <c r="C752" s="60" t="s">
        <v>458</v>
      </c>
      <c r="D752" s="60">
        <v>0.13</v>
      </c>
      <c r="E752" s="60">
        <v>75.0</v>
      </c>
      <c r="F752" s="60">
        <v>9.75</v>
      </c>
      <c r="G752" s="118" t="s">
        <v>540</v>
      </c>
      <c r="H752" s="116"/>
      <c r="I752" s="116"/>
    </row>
    <row r="753">
      <c r="A753" s="117">
        <v>46036.95172269676</v>
      </c>
      <c r="B753" s="60" t="s">
        <v>395</v>
      </c>
      <c r="C753" s="60" t="s">
        <v>544</v>
      </c>
      <c r="D753" s="60">
        <v>1.0</v>
      </c>
      <c r="E753" s="60">
        <v>6.4</v>
      </c>
      <c r="F753" s="60">
        <v>6.4</v>
      </c>
      <c r="G753" s="118" t="s">
        <v>540</v>
      </c>
      <c r="H753" s="116"/>
      <c r="I753" s="116"/>
    </row>
    <row r="754">
      <c r="A754" s="117">
        <v>46036.95172269676</v>
      </c>
      <c r="B754" s="60" t="s">
        <v>395</v>
      </c>
      <c r="C754" s="60" t="s">
        <v>447</v>
      </c>
      <c r="D754" s="60">
        <v>0.3</v>
      </c>
      <c r="E754" s="60">
        <v>130.0</v>
      </c>
      <c r="F754" s="60">
        <v>39.0</v>
      </c>
      <c r="G754" s="118" t="s">
        <v>540</v>
      </c>
      <c r="H754" s="116"/>
      <c r="I754" s="116"/>
    </row>
    <row r="755">
      <c r="A755" s="117">
        <v>46036.95172269676</v>
      </c>
      <c r="B755" s="60" t="s">
        <v>395</v>
      </c>
      <c r="C755" s="60" t="s">
        <v>437</v>
      </c>
      <c r="D755" s="60">
        <v>0.03</v>
      </c>
      <c r="E755" s="60">
        <v>113.0</v>
      </c>
      <c r="F755" s="60">
        <v>3.39</v>
      </c>
      <c r="G755" s="118" t="s">
        <v>540</v>
      </c>
      <c r="H755" s="116"/>
      <c r="I755" s="116"/>
    </row>
    <row r="756">
      <c r="A756" s="117">
        <v>46036.95172269676</v>
      </c>
      <c r="B756" s="60" t="s">
        <v>395</v>
      </c>
      <c r="C756" s="60" t="s">
        <v>104</v>
      </c>
      <c r="D756" s="60">
        <v>0.05</v>
      </c>
      <c r="E756" s="60">
        <v>153.0</v>
      </c>
      <c r="F756" s="60">
        <v>7.65</v>
      </c>
      <c r="G756" s="118" t="s">
        <v>540</v>
      </c>
      <c r="H756" s="116"/>
      <c r="I756" s="116"/>
    </row>
    <row r="757">
      <c r="A757" s="117">
        <v>46036.95172269676</v>
      </c>
      <c r="B757" s="60" t="s">
        <v>395</v>
      </c>
      <c r="C757" s="60" t="s">
        <v>352</v>
      </c>
      <c r="D757" s="60">
        <v>0.0</v>
      </c>
      <c r="E757" s="60">
        <v>46.0</v>
      </c>
      <c r="F757" s="60">
        <v>0.0</v>
      </c>
      <c r="G757" s="118" t="s">
        <v>540</v>
      </c>
      <c r="H757" s="116"/>
      <c r="I757" s="116"/>
    </row>
    <row r="758">
      <c r="A758" s="117">
        <v>46036.95172269676</v>
      </c>
      <c r="B758" s="60" t="s">
        <v>395</v>
      </c>
      <c r="C758" s="60" t="s">
        <v>115</v>
      </c>
      <c r="D758" s="60">
        <v>0.03</v>
      </c>
      <c r="E758" s="60">
        <v>333.0</v>
      </c>
      <c r="F758" s="60">
        <v>9.99</v>
      </c>
      <c r="G758" s="118" t="s">
        <v>540</v>
      </c>
      <c r="H758" s="116"/>
      <c r="I758" s="116"/>
    </row>
    <row r="759">
      <c r="A759" s="117">
        <v>46036.95172269676</v>
      </c>
      <c r="B759" s="60" t="s">
        <v>395</v>
      </c>
      <c r="C759" s="60" t="s">
        <v>163</v>
      </c>
      <c r="D759" s="60">
        <v>0.03</v>
      </c>
      <c r="E759" s="60">
        <v>117.0</v>
      </c>
      <c r="F759" s="60">
        <v>3.51</v>
      </c>
      <c r="G759" s="118" t="s">
        <v>540</v>
      </c>
      <c r="H759" s="116"/>
      <c r="I759" s="116"/>
    </row>
    <row r="760">
      <c r="A760" s="117">
        <v>46036.95172269676</v>
      </c>
      <c r="B760" s="60" t="s">
        <v>395</v>
      </c>
      <c r="C760" s="60" t="s">
        <v>215</v>
      </c>
      <c r="D760" s="60">
        <v>0.03</v>
      </c>
      <c r="E760" s="60">
        <v>12.0</v>
      </c>
      <c r="F760" s="60">
        <v>0.36</v>
      </c>
      <c r="G760" s="118" t="s">
        <v>540</v>
      </c>
      <c r="H760" s="116"/>
      <c r="I760" s="116"/>
    </row>
    <row r="761">
      <c r="A761" s="117">
        <v>46036.95172269676</v>
      </c>
      <c r="B761" s="60" t="s">
        <v>395</v>
      </c>
      <c r="C761" s="60" t="s">
        <v>213</v>
      </c>
      <c r="D761" s="60">
        <v>0.0</v>
      </c>
      <c r="E761" s="60">
        <v>51.0</v>
      </c>
      <c r="F761" s="60">
        <v>0.0</v>
      </c>
      <c r="G761" s="118" t="s">
        <v>540</v>
      </c>
      <c r="H761" s="116"/>
      <c r="I761" s="116"/>
    </row>
    <row r="762">
      <c r="A762" s="117">
        <v>46036.95172269676</v>
      </c>
      <c r="B762" s="60" t="s">
        <v>395</v>
      </c>
      <c r="C762" s="60" t="s">
        <v>214</v>
      </c>
      <c r="D762" s="60">
        <v>0.07</v>
      </c>
      <c r="E762" s="60">
        <v>33.0</v>
      </c>
      <c r="F762" s="60">
        <v>2.31</v>
      </c>
      <c r="G762" s="118" t="s">
        <v>540</v>
      </c>
      <c r="H762" s="116"/>
      <c r="I762" s="116"/>
    </row>
    <row r="763">
      <c r="A763" s="117">
        <v>46036.95172269676</v>
      </c>
      <c r="B763" s="60" t="s">
        <v>395</v>
      </c>
      <c r="C763" s="60" t="s">
        <v>542</v>
      </c>
      <c r="D763" s="60">
        <v>1.0</v>
      </c>
      <c r="E763" s="60">
        <v>10.0</v>
      </c>
      <c r="F763" s="60">
        <v>10.0</v>
      </c>
      <c r="G763" s="118" t="s">
        <v>540</v>
      </c>
      <c r="H763" s="116"/>
      <c r="I763" s="116"/>
    </row>
    <row r="764">
      <c r="A764" s="117">
        <v>46036.95172269676</v>
      </c>
      <c r="B764" s="60" t="s">
        <v>395</v>
      </c>
      <c r="C764" s="60" t="s">
        <v>543</v>
      </c>
      <c r="D764" s="60">
        <v>0.23</v>
      </c>
      <c r="E764" s="60">
        <v>191.0</v>
      </c>
      <c r="F764" s="60">
        <v>43.93</v>
      </c>
      <c r="G764" s="118" t="s">
        <v>540</v>
      </c>
      <c r="H764" s="116"/>
      <c r="I764" s="116"/>
    </row>
    <row r="765">
      <c r="A765" s="117">
        <v>46035.95194086806</v>
      </c>
      <c r="B765" s="60" t="s">
        <v>392</v>
      </c>
      <c r="C765" s="60" t="s">
        <v>170</v>
      </c>
      <c r="D765" s="60">
        <v>0.0</v>
      </c>
      <c r="E765" s="60">
        <v>2.5</v>
      </c>
      <c r="F765" s="60">
        <v>0.0</v>
      </c>
      <c r="G765" s="118" t="s">
        <v>545</v>
      </c>
      <c r="H765" s="116"/>
      <c r="I765" s="116"/>
    </row>
    <row r="766">
      <c r="A766" s="117">
        <v>46035.95194086806</v>
      </c>
      <c r="B766" s="60" t="s">
        <v>392</v>
      </c>
      <c r="C766" s="60" t="s">
        <v>429</v>
      </c>
      <c r="D766" s="60">
        <v>10.0</v>
      </c>
      <c r="E766" s="60">
        <v>1.0</v>
      </c>
      <c r="F766" s="60">
        <v>10.0</v>
      </c>
      <c r="G766" s="118" t="s">
        <v>545</v>
      </c>
      <c r="H766" s="116"/>
      <c r="I766" s="116"/>
    </row>
    <row r="767">
      <c r="A767" s="117">
        <v>46035.95194086806</v>
      </c>
      <c r="B767" s="60" t="s">
        <v>392</v>
      </c>
      <c r="C767" s="60" t="s">
        <v>212</v>
      </c>
      <c r="D767" s="60">
        <v>0.33</v>
      </c>
      <c r="E767" s="60">
        <v>11.0</v>
      </c>
      <c r="F767" s="60">
        <v>3.63</v>
      </c>
      <c r="G767" s="118" t="s">
        <v>545</v>
      </c>
      <c r="H767" s="116"/>
      <c r="I767" s="116"/>
    </row>
    <row r="768">
      <c r="A768" s="117">
        <v>46035.95194086806</v>
      </c>
      <c r="B768" s="60" t="s">
        <v>392</v>
      </c>
      <c r="C768" s="60" t="s">
        <v>218</v>
      </c>
      <c r="D768" s="60">
        <v>0.08</v>
      </c>
      <c r="E768" s="60">
        <v>60.0</v>
      </c>
      <c r="F768" s="60">
        <v>4.8</v>
      </c>
      <c r="G768" s="118" t="s">
        <v>545</v>
      </c>
      <c r="H768" s="116"/>
      <c r="I768" s="116"/>
    </row>
    <row r="769">
      <c r="A769" s="117">
        <v>46035.95194086806</v>
      </c>
      <c r="B769" s="60" t="s">
        <v>397</v>
      </c>
      <c r="C769" s="60" t="s">
        <v>89</v>
      </c>
      <c r="D769" s="60">
        <v>0.13</v>
      </c>
      <c r="E769" s="60">
        <v>61.0</v>
      </c>
      <c r="F769" s="60">
        <v>7.93</v>
      </c>
      <c r="G769" s="118" t="s">
        <v>545</v>
      </c>
      <c r="H769" s="116"/>
      <c r="I769" s="116"/>
    </row>
    <row r="770">
      <c r="A770" s="117">
        <v>46035.95194086806</v>
      </c>
      <c r="B770" s="60" t="s">
        <v>395</v>
      </c>
      <c r="C770" s="60" t="s">
        <v>189</v>
      </c>
      <c r="D770" s="60">
        <v>0.14</v>
      </c>
      <c r="E770" s="60">
        <v>70.0</v>
      </c>
      <c r="F770" s="60">
        <v>9.8</v>
      </c>
      <c r="G770" s="118" t="s">
        <v>545</v>
      </c>
      <c r="H770" s="116"/>
      <c r="I770" s="116"/>
    </row>
    <row r="771">
      <c r="A771" s="117">
        <v>46035.95194086806</v>
      </c>
      <c r="B771" s="60" t="s">
        <v>395</v>
      </c>
      <c r="C771" s="60" t="s">
        <v>437</v>
      </c>
      <c r="D771" s="60">
        <v>0.03</v>
      </c>
      <c r="E771" s="60">
        <v>43.0</v>
      </c>
      <c r="F771" s="60">
        <v>1.29</v>
      </c>
      <c r="G771" s="118" t="s">
        <v>545</v>
      </c>
      <c r="H771" s="116"/>
      <c r="I771" s="116"/>
    </row>
    <row r="772">
      <c r="A772" s="117">
        <v>46035.95194086806</v>
      </c>
      <c r="B772" s="60" t="s">
        <v>395</v>
      </c>
      <c r="C772" s="60" t="s">
        <v>444</v>
      </c>
      <c r="D772" s="60">
        <v>0.07</v>
      </c>
      <c r="E772" s="60">
        <v>20.0</v>
      </c>
      <c r="F772" s="60">
        <v>1.4</v>
      </c>
      <c r="G772" s="118" t="s">
        <v>545</v>
      </c>
      <c r="H772" s="116"/>
      <c r="I772" s="116"/>
    </row>
    <row r="773">
      <c r="A773" s="117">
        <v>46035.95194086806</v>
      </c>
      <c r="B773" s="60" t="s">
        <v>395</v>
      </c>
      <c r="C773" s="60" t="s">
        <v>546</v>
      </c>
      <c r="D773" s="60">
        <v>1.0</v>
      </c>
      <c r="E773" s="60">
        <v>4.8</v>
      </c>
      <c r="F773" s="60">
        <v>4.8</v>
      </c>
      <c r="G773" s="118" t="s">
        <v>545</v>
      </c>
      <c r="H773" s="116"/>
      <c r="I773" s="116"/>
    </row>
    <row r="774">
      <c r="A774" s="117">
        <v>46035.95194086806</v>
      </c>
      <c r="B774" s="60" t="s">
        <v>395</v>
      </c>
      <c r="C774" s="60" t="s">
        <v>519</v>
      </c>
      <c r="D774" s="60">
        <v>0.24</v>
      </c>
      <c r="E774" s="60">
        <v>50.0</v>
      </c>
      <c r="F774" s="60">
        <v>12.0</v>
      </c>
      <c r="G774" s="118" t="s">
        <v>545</v>
      </c>
      <c r="H774" s="116"/>
      <c r="I774" s="116"/>
    </row>
    <row r="775">
      <c r="A775" s="117">
        <v>46035.95194086806</v>
      </c>
      <c r="B775" s="60" t="s">
        <v>395</v>
      </c>
      <c r="C775" s="60" t="s">
        <v>443</v>
      </c>
      <c r="D775" s="60">
        <v>0.15</v>
      </c>
      <c r="E775" s="60">
        <v>5.0</v>
      </c>
      <c r="F775" s="60">
        <v>0.75</v>
      </c>
      <c r="G775" s="118" t="s">
        <v>545</v>
      </c>
      <c r="H775" s="116"/>
      <c r="I775" s="116"/>
    </row>
    <row r="776">
      <c r="A776" s="117">
        <v>46035.95194086806</v>
      </c>
      <c r="B776" s="60" t="s">
        <v>395</v>
      </c>
      <c r="C776" s="60" t="s">
        <v>322</v>
      </c>
      <c r="D776" s="60">
        <v>0.05</v>
      </c>
      <c r="E776" s="60">
        <v>35.0</v>
      </c>
      <c r="F776" s="60">
        <v>1.75</v>
      </c>
      <c r="G776" s="118" t="s">
        <v>545</v>
      </c>
      <c r="H776" s="116"/>
      <c r="I776" s="116"/>
    </row>
    <row r="777">
      <c r="A777" s="117">
        <v>46034.95175371528</v>
      </c>
      <c r="B777" s="60" t="s">
        <v>392</v>
      </c>
      <c r="C777" s="60" t="s">
        <v>429</v>
      </c>
      <c r="D777" s="60">
        <v>10.0</v>
      </c>
      <c r="E777" s="60">
        <v>1.5</v>
      </c>
      <c r="F777" s="60">
        <v>15.0</v>
      </c>
      <c r="G777" s="118" t="s">
        <v>547</v>
      </c>
      <c r="H777" s="116"/>
      <c r="I777" s="116"/>
    </row>
    <row r="778">
      <c r="A778" s="117">
        <v>46034.95175371528</v>
      </c>
      <c r="B778" s="60" t="s">
        <v>392</v>
      </c>
      <c r="C778" s="60" t="s">
        <v>89</v>
      </c>
      <c r="D778" s="60">
        <v>0.13</v>
      </c>
      <c r="E778" s="60">
        <v>45.0</v>
      </c>
      <c r="F778" s="60">
        <v>5.85</v>
      </c>
      <c r="G778" s="118" t="s">
        <v>547</v>
      </c>
      <c r="H778" s="116"/>
      <c r="I778" s="116"/>
    </row>
    <row r="779">
      <c r="A779" s="117">
        <v>46034.95175371528</v>
      </c>
      <c r="B779" s="60" t="s">
        <v>392</v>
      </c>
      <c r="C779" s="60" t="s">
        <v>233</v>
      </c>
      <c r="D779" s="60">
        <v>0.13</v>
      </c>
      <c r="E779" s="60">
        <v>18.0</v>
      </c>
      <c r="F779" s="60">
        <v>2.34</v>
      </c>
      <c r="G779" s="118" t="s">
        <v>547</v>
      </c>
      <c r="H779" s="116"/>
      <c r="I779" s="116"/>
    </row>
    <row r="780">
      <c r="A780" s="117">
        <v>46034.95175371528</v>
      </c>
      <c r="B780" s="60" t="s">
        <v>392</v>
      </c>
      <c r="C780" s="60" t="s">
        <v>504</v>
      </c>
      <c r="D780" s="60">
        <v>5.0</v>
      </c>
      <c r="E780" s="60">
        <v>1.0</v>
      </c>
      <c r="F780" s="60">
        <v>5.0</v>
      </c>
      <c r="G780" s="118" t="s">
        <v>547</v>
      </c>
      <c r="H780" s="116"/>
      <c r="I780" s="116"/>
    </row>
    <row r="781">
      <c r="A781" s="117">
        <v>46034.95175371528</v>
      </c>
      <c r="B781" s="60" t="s">
        <v>398</v>
      </c>
      <c r="C781" s="60" t="s">
        <v>454</v>
      </c>
      <c r="D781" s="60">
        <v>0.3</v>
      </c>
      <c r="E781" s="60">
        <v>10.0</v>
      </c>
      <c r="F781" s="60">
        <v>3.0</v>
      </c>
      <c r="G781" s="118" t="s">
        <v>547</v>
      </c>
      <c r="H781" s="116"/>
      <c r="I781" s="116"/>
    </row>
    <row r="782">
      <c r="A782" s="117">
        <v>46034.95175371528</v>
      </c>
      <c r="B782" s="60" t="s">
        <v>395</v>
      </c>
      <c r="C782" s="60" t="s">
        <v>450</v>
      </c>
      <c r="D782" s="60">
        <v>0.19</v>
      </c>
      <c r="E782" s="60">
        <v>45.0</v>
      </c>
      <c r="F782" s="60">
        <v>8.55</v>
      </c>
      <c r="G782" s="118" t="s">
        <v>547</v>
      </c>
      <c r="H782" s="116"/>
      <c r="I782" s="116"/>
    </row>
    <row r="783">
      <c r="A783" s="117">
        <v>46034.95175371528</v>
      </c>
      <c r="B783" s="60" t="s">
        <v>395</v>
      </c>
      <c r="C783" s="60" t="s">
        <v>462</v>
      </c>
      <c r="D783" s="60">
        <v>0.02</v>
      </c>
      <c r="E783" s="60">
        <v>80.0</v>
      </c>
      <c r="F783" s="60">
        <v>1.6</v>
      </c>
      <c r="G783" s="118" t="s">
        <v>547</v>
      </c>
      <c r="H783" s="116"/>
      <c r="I783" s="116"/>
    </row>
    <row r="784">
      <c r="A784" s="117">
        <v>46034.95175371528</v>
      </c>
      <c r="B784" s="60" t="s">
        <v>395</v>
      </c>
      <c r="C784" s="60" t="s">
        <v>548</v>
      </c>
      <c r="D784" s="60">
        <v>1.0</v>
      </c>
      <c r="E784" s="60">
        <v>3.0</v>
      </c>
      <c r="F784" s="60">
        <v>3.0</v>
      </c>
      <c r="G784" s="118" t="s">
        <v>547</v>
      </c>
      <c r="H784" s="116"/>
      <c r="I784" s="116"/>
    </row>
    <row r="785">
      <c r="A785" s="117">
        <v>46034.95175371528</v>
      </c>
      <c r="B785" s="60" t="s">
        <v>395</v>
      </c>
      <c r="C785" s="60" t="s">
        <v>328</v>
      </c>
      <c r="D785" s="60">
        <v>0.07</v>
      </c>
      <c r="E785" s="60">
        <v>20.0</v>
      </c>
      <c r="F785" s="60">
        <v>1.4</v>
      </c>
      <c r="G785" s="118" t="s">
        <v>547</v>
      </c>
      <c r="H785" s="116"/>
      <c r="I785" s="116"/>
    </row>
    <row r="786">
      <c r="A786" s="117">
        <v>46034.95175371528</v>
      </c>
      <c r="B786" s="60" t="s">
        <v>395</v>
      </c>
      <c r="C786" s="60" t="s">
        <v>549</v>
      </c>
      <c r="D786" s="60">
        <v>1.0</v>
      </c>
      <c r="E786" s="60">
        <v>4.0</v>
      </c>
      <c r="F786" s="60">
        <v>4.0</v>
      </c>
      <c r="G786" s="118" t="s">
        <v>547</v>
      </c>
      <c r="H786" s="116"/>
      <c r="I786" s="116"/>
    </row>
    <row r="787">
      <c r="A787" s="117">
        <v>46034.95175371528</v>
      </c>
      <c r="B787" s="60" t="s">
        <v>395</v>
      </c>
      <c r="C787" s="60" t="s">
        <v>325</v>
      </c>
      <c r="D787" s="60">
        <v>0.05</v>
      </c>
      <c r="E787" s="60">
        <v>30.0</v>
      </c>
      <c r="F787" s="60">
        <v>1.5</v>
      </c>
      <c r="G787" s="118" t="s">
        <v>547</v>
      </c>
      <c r="H787" s="116"/>
      <c r="I787" s="116"/>
    </row>
    <row r="788">
      <c r="A788" s="117">
        <v>46033.951738738426</v>
      </c>
      <c r="B788" s="60" t="s">
        <v>392</v>
      </c>
      <c r="C788" s="60" t="s">
        <v>429</v>
      </c>
      <c r="D788" s="60">
        <v>10.0</v>
      </c>
      <c r="E788" s="60">
        <v>1.5</v>
      </c>
      <c r="F788" s="60">
        <v>15.0</v>
      </c>
      <c r="G788" s="118" t="s">
        <v>550</v>
      </c>
      <c r="H788" s="116"/>
      <c r="I788" s="116"/>
    </row>
    <row r="789">
      <c r="A789" s="117">
        <v>46033.951738738426</v>
      </c>
      <c r="B789" s="60" t="s">
        <v>392</v>
      </c>
      <c r="C789" s="60" t="s">
        <v>233</v>
      </c>
      <c r="D789" s="60">
        <v>0.13</v>
      </c>
      <c r="E789" s="60">
        <v>20.0</v>
      </c>
      <c r="F789" s="60">
        <v>2.6</v>
      </c>
      <c r="G789" s="118" t="s">
        <v>550</v>
      </c>
      <c r="H789" s="116"/>
      <c r="I789" s="116"/>
    </row>
    <row r="790">
      <c r="A790" s="117">
        <v>46033.951738738426</v>
      </c>
      <c r="B790" s="60" t="s">
        <v>392</v>
      </c>
      <c r="C790" s="60" t="s">
        <v>89</v>
      </c>
      <c r="D790" s="60">
        <v>0.13</v>
      </c>
      <c r="E790" s="60">
        <v>45.0</v>
      </c>
      <c r="F790" s="60">
        <v>5.85</v>
      </c>
      <c r="G790" s="118" t="s">
        <v>550</v>
      </c>
      <c r="H790" s="116"/>
      <c r="I790" s="116"/>
    </row>
    <row r="791">
      <c r="A791" s="117">
        <v>46033.951738738426</v>
      </c>
      <c r="B791" s="60" t="s">
        <v>397</v>
      </c>
      <c r="C791" s="60" t="s">
        <v>170</v>
      </c>
      <c r="D791" s="60">
        <v>0.0</v>
      </c>
      <c r="E791" s="60">
        <v>2.5</v>
      </c>
      <c r="F791" s="60">
        <v>0.0</v>
      </c>
      <c r="G791" s="118" t="s">
        <v>550</v>
      </c>
      <c r="H791" s="116"/>
      <c r="I791" s="116"/>
    </row>
    <row r="792">
      <c r="A792" s="117">
        <v>46033.951738738426</v>
      </c>
      <c r="B792" s="60" t="s">
        <v>397</v>
      </c>
      <c r="C792" s="60" t="s">
        <v>212</v>
      </c>
      <c r="D792" s="60">
        <v>0.33</v>
      </c>
      <c r="E792" s="60">
        <v>10.0</v>
      </c>
      <c r="F792" s="60">
        <v>3.3</v>
      </c>
      <c r="G792" s="118" t="s">
        <v>550</v>
      </c>
      <c r="H792" s="116"/>
      <c r="I792" s="116"/>
    </row>
    <row r="793">
      <c r="A793" s="117">
        <v>46033.951738738426</v>
      </c>
      <c r="B793" s="60" t="s">
        <v>397</v>
      </c>
      <c r="C793" s="60" t="s">
        <v>551</v>
      </c>
      <c r="D793" s="60">
        <v>12.0</v>
      </c>
      <c r="E793" s="60">
        <v>1.0</v>
      </c>
      <c r="F793" s="60">
        <v>12.0</v>
      </c>
      <c r="G793" s="118" t="s">
        <v>550</v>
      </c>
      <c r="H793" s="116"/>
      <c r="I793" s="116"/>
    </row>
    <row r="794">
      <c r="A794" s="117">
        <v>46033.951738738426</v>
      </c>
      <c r="B794" s="60" t="s">
        <v>397</v>
      </c>
      <c r="C794" s="60" t="s">
        <v>152</v>
      </c>
      <c r="D794" s="60">
        <v>0.0</v>
      </c>
      <c r="E794" s="60">
        <v>30.0</v>
      </c>
      <c r="F794" s="60">
        <v>0.0</v>
      </c>
      <c r="G794" s="118" t="s">
        <v>550</v>
      </c>
      <c r="H794" s="116"/>
      <c r="I794" s="116"/>
    </row>
    <row r="795">
      <c r="A795" s="117">
        <v>46033.951738738426</v>
      </c>
      <c r="B795" s="60" t="s">
        <v>397</v>
      </c>
      <c r="C795" s="60" t="s">
        <v>490</v>
      </c>
      <c r="D795" s="60">
        <v>12.0</v>
      </c>
      <c r="E795" s="60">
        <v>0.5</v>
      </c>
      <c r="F795" s="60">
        <v>6.0</v>
      </c>
      <c r="G795" s="118" t="s">
        <v>550</v>
      </c>
      <c r="H795" s="116"/>
      <c r="I795" s="116"/>
    </row>
    <row r="796">
      <c r="A796" s="117">
        <v>46033.951738738426</v>
      </c>
      <c r="B796" s="60" t="s">
        <v>398</v>
      </c>
      <c r="C796" s="60" t="s">
        <v>89</v>
      </c>
      <c r="D796" s="60">
        <v>0.13</v>
      </c>
      <c r="E796" s="60">
        <v>55.0</v>
      </c>
      <c r="F796" s="60">
        <v>7.15</v>
      </c>
      <c r="G796" s="118" t="s">
        <v>550</v>
      </c>
      <c r="H796" s="116"/>
      <c r="I796" s="116"/>
    </row>
    <row r="797">
      <c r="A797" s="117">
        <v>46033.951738738426</v>
      </c>
      <c r="B797" s="60" t="s">
        <v>395</v>
      </c>
      <c r="C797" s="60" t="s">
        <v>552</v>
      </c>
      <c r="D797" s="60">
        <v>8.0</v>
      </c>
      <c r="E797" s="60">
        <v>1.5</v>
      </c>
      <c r="F797" s="60">
        <v>12.0</v>
      </c>
      <c r="G797" s="118" t="s">
        <v>550</v>
      </c>
      <c r="H797" s="116"/>
      <c r="I797" s="116"/>
    </row>
    <row r="798">
      <c r="A798" s="117">
        <v>46033.951738738426</v>
      </c>
      <c r="B798" s="60" t="s">
        <v>395</v>
      </c>
      <c r="C798" s="60" t="s">
        <v>326</v>
      </c>
      <c r="D798" s="60">
        <v>0.1</v>
      </c>
      <c r="E798" s="60">
        <v>20.0</v>
      </c>
      <c r="F798" s="60">
        <v>2.0</v>
      </c>
      <c r="G798" s="118" t="s">
        <v>550</v>
      </c>
      <c r="H798" s="116"/>
      <c r="I798" s="116"/>
    </row>
    <row r="799">
      <c r="A799" s="117">
        <v>46033.951738738426</v>
      </c>
      <c r="B799" s="60" t="s">
        <v>395</v>
      </c>
      <c r="C799" s="60" t="s">
        <v>115</v>
      </c>
      <c r="D799" s="60">
        <v>0.03</v>
      </c>
      <c r="E799" s="60">
        <v>40.0</v>
      </c>
      <c r="F799" s="60">
        <v>1.2</v>
      </c>
      <c r="G799" s="118" t="s">
        <v>550</v>
      </c>
      <c r="H799" s="116"/>
      <c r="I799" s="116"/>
    </row>
    <row r="800">
      <c r="A800" s="117">
        <v>46033.951738738426</v>
      </c>
      <c r="B800" s="60" t="s">
        <v>395</v>
      </c>
      <c r="C800" s="60" t="s">
        <v>152</v>
      </c>
      <c r="D800" s="60">
        <v>0.0</v>
      </c>
      <c r="E800" s="60">
        <v>40.0</v>
      </c>
      <c r="F800" s="60">
        <v>0.0</v>
      </c>
      <c r="G800" s="118" t="s">
        <v>550</v>
      </c>
      <c r="H800" s="116"/>
      <c r="I800" s="116"/>
    </row>
    <row r="801">
      <c r="A801" s="117">
        <v>46033.951738738426</v>
      </c>
      <c r="B801" s="60" t="s">
        <v>395</v>
      </c>
      <c r="C801" s="60" t="s">
        <v>163</v>
      </c>
      <c r="D801" s="60">
        <v>0.03</v>
      </c>
      <c r="E801" s="60">
        <v>33.0</v>
      </c>
      <c r="F801" s="60">
        <v>0.99</v>
      </c>
      <c r="G801" s="118" t="s">
        <v>550</v>
      </c>
      <c r="H801" s="116"/>
      <c r="I801" s="116"/>
    </row>
    <row r="802">
      <c r="A802" s="117">
        <v>46033.951738738426</v>
      </c>
      <c r="B802" s="60" t="s">
        <v>395</v>
      </c>
      <c r="C802" s="60" t="s">
        <v>429</v>
      </c>
      <c r="D802" s="60">
        <v>10.0</v>
      </c>
      <c r="E802" s="60">
        <v>0.5</v>
      </c>
      <c r="F802" s="60">
        <v>5.0</v>
      </c>
      <c r="G802" s="118" t="s">
        <v>550</v>
      </c>
      <c r="H802" s="116"/>
      <c r="I802" s="116"/>
    </row>
    <row r="803">
      <c r="A803" s="117">
        <v>46032.951712685186</v>
      </c>
      <c r="B803" s="60" t="s">
        <v>392</v>
      </c>
      <c r="C803" s="60" t="s">
        <v>170</v>
      </c>
      <c r="D803" s="60">
        <v>0.0</v>
      </c>
      <c r="E803" s="60">
        <v>2.5</v>
      </c>
      <c r="F803" s="60">
        <v>0.0</v>
      </c>
      <c r="G803" s="118" t="s">
        <v>553</v>
      </c>
      <c r="H803" s="116"/>
      <c r="I803" s="116"/>
    </row>
    <row r="804">
      <c r="A804" s="117">
        <v>46032.951712685186</v>
      </c>
      <c r="B804" s="60" t="s">
        <v>392</v>
      </c>
      <c r="C804" s="60" t="s">
        <v>429</v>
      </c>
      <c r="D804" s="60">
        <v>10.0</v>
      </c>
      <c r="E804" s="60">
        <v>1.0</v>
      </c>
      <c r="F804" s="60">
        <v>10.0</v>
      </c>
      <c r="G804" s="118" t="s">
        <v>553</v>
      </c>
      <c r="H804" s="116"/>
      <c r="I804" s="116"/>
    </row>
    <row r="805">
      <c r="A805" s="117">
        <v>46032.951712685186</v>
      </c>
      <c r="B805" s="60" t="s">
        <v>392</v>
      </c>
      <c r="C805" s="60" t="s">
        <v>323</v>
      </c>
      <c r="D805" s="60">
        <v>0.02</v>
      </c>
      <c r="E805" s="60">
        <v>50.0</v>
      </c>
      <c r="F805" s="60">
        <v>1.0</v>
      </c>
      <c r="G805" s="118" t="s">
        <v>553</v>
      </c>
      <c r="H805" s="116"/>
      <c r="I805" s="116"/>
    </row>
    <row r="806">
      <c r="A806" s="117">
        <v>46032.951712685186</v>
      </c>
      <c r="B806" s="60" t="s">
        <v>392</v>
      </c>
      <c r="C806" s="60" t="s">
        <v>111</v>
      </c>
      <c r="D806" s="60">
        <v>0.12</v>
      </c>
      <c r="E806" s="60">
        <v>40.0</v>
      </c>
      <c r="F806" s="60">
        <v>4.8</v>
      </c>
      <c r="G806" s="118" t="s">
        <v>553</v>
      </c>
      <c r="H806" s="116"/>
      <c r="I806" s="116"/>
    </row>
    <row r="807">
      <c r="A807" s="117">
        <v>46032.951712685186</v>
      </c>
      <c r="B807" s="60" t="s">
        <v>392</v>
      </c>
      <c r="C807" s="60" t="s">
        <v>212</v>
      </c>
      <c r="D807" s="60">
        <v>0.33</v>
      </c>
      <c r="E807" s="60">
        <v>10.0</v>
      </c>
      <c r="F807" s="60">
        <v>3.3</v>
      </c>
      <c r="G807" s="118" t="s">
        <v>553</v>
      </c>
      <c r="H807" s="116"/>
      <c r="I807" s="116"/>
    </row>
    <row r="808">
      <c r="A808" s="117">
        <v>46032.951712685186</v>
      </c>
      <c r="B808" s="60" t="s">
        <v>397</v>
      </c>
      <c r="C808" s="60" t="s">
        <v>115</v>
      </c>
      <c r="D808" s="60">
        <v>0.03</v>
      </c>
      <c r="E808" s="60">
        <v>40.0</v>
      </c>
      <c r="F808" s="60">
        <v>1.2</v>
      </c>
      <c r="G808" s="118" t="s">
        <v>553</v>
      </c>
      <c r="H808" s="116"/>
      <c r="I808" s="116"/>
    </row>
    <row r="809">
      <c r="A809" s="117">
        <v>46032.951712685186</v>
      </c>
      <c r="B809" s="60" t="s">
        <v>397</v>
      </c>
      <c r="C809" s="60" t="s">
        <v>444</v>
      </c>
      <c r="D809" s="60">
        <v>0.07</v>
      </c>
      <c r="E809" s="60">
        <v>30.0</v>
      </c>
      <c r="F809" s="60">
        <v>2.1</v>
      </c>
      <c r="G809" s="118" t="s">
        <v>553</v>
      </c>
      <c r="H809" s="116"/>
      <c r="I809" s="116"/>
    </row>
    <row r="810">
      <c r="A810" s="117">
        <v>46032.951712685186</v>
      </c>
      <c r="B810" s="60" t="s">
        <v>397</v>
      </c>
      <c r="C810" s="60" t="s">
        <v>554</v>
      </c>
      <c r="D810" s="60">
        <v>0.57</v>
      </c>
      <c r="E810" s="60">
        <v>8.0</v>
      </c>
      <c r="F810" s="60">
        <v>4.56</v>
      </c>
      <c r="G810" s="118" t="s">
        <v>553</v>
      </c>
      <c r="H810" s="116"/>
      <c r="I810" s="116"/>
    </row>
    <row r="811">
      <c r="A811" s="117">
        <v>46032.951712685186</v>
      </c>
      <c r="B811" s="60" t="s">
        <v>397</v>
      </c>
      <c r="C811" s="60" t="s">
        <v>104</v>
      </c>
      <c r="D811" s="60">
        <v>0.05</v>
      </c>
      <c r="E811" s="60">
        <v>9.0</v>
      </c>
      <c r="F811" s="60">
        <v>0.45</v>
      </c>
      <c r="G811" s="118" t="s">
        <v>553</v>
      </c>
      <c r="H811" s="116"/>
      <c r="I811" s="116"/>
    </row>
    <row r="812">
      <c r="A812" s="117">
        <v>46032.951712685186</v>
      </c>
      <c r="B812" s="60" t="s">
        <v>397</v>
      </c>
      <c r="C812" s="60" t="s">
        <v>429</v>
      </c>
      <c r="D812" s="60">
        <v>10.0</v>
      </c>
      <c r="E812" s="60">
        <v>1.0</v>
      </c>
      <c r="F812" s="60">
        <v>10.0</v>
      </c>
      <c r="G812" s="118" t="s">
        <v>553</v>
      </c>
      <c r="H812" s="116"/>
      <c r="I812" s="116"/>
    </row>
    <row r="813">
      <c r="A813" s="117">
        <v>46032.951712685186</v>
      </c>
      <c r="B813" s="60" t="s">
        <v>397</v>
      </c>
      <c r="C813" s="60" t="s">
        <v>233</v>
      </c>
      <c r="D813" s="60">
        <v>0.13</v>
      </c>
      <c r="E813" s="60">
        <v>16.0</v>
      </c>
      <c r="F813" s="60">
        <v>2.08</v>
      </c>
      <c r="G813" s="118" t="s">
        <v>553</v>
      </c>
      <c r="H813" s="116"/>
      <c r="I813" s="116"/>
    </row>
    <row r="814">
      <c r="A814" s="117">
        <v>46032.951712685186</v>
      </c>
      <c r="B814" s="60" t="s">
        <v>395</v>
      </c>
      <c r="C814" s="60" t="s">
        <v>89</v>
      </c>
      <c r="D814" s="60">
        <v>0.13</v>
      </c>
      <c r="E814" s="60">
        <v>52.0</v>
      </c>
      <c r="F814" s="60">
        <v>6.76</v>
      </c>
      <c r="G814" s="118" t="s">
        <v>553</v>
      </c>
      <c r="H814" s="116"/>
      <c r="I814" s="116"/>
    </row>
    <row r="815">
      <c r="A815" s="117">
        <v>46032.951712685186</v>
      </c>
      <c r="B815" s="60" t="s">
        <v>395</v>
      </c>
      <c r="C815" s="60" t="s">
        <v>555</v>
      </c>
      <c r="D815" s="60">
        <v>1.0</v>
      </c>
      <c r="E815" s="60">
        <v>25.0</v>
      </c>
      <c r="F815" s="60">
        <v>25.0</v>
      </c>
      <c r="G815" s="118" t="s">
        <v>553</v>
      </c>
      <c r="H815" s="116"/>
      <c r="I815" s="116"/>
    </row>
    <row r="816">
      <c r="A816" s="117">
        <v>46032.951712685186</v>
      </c>
      <c r="B816" s="60" t="s">
        <v>395</v>
      </c>
      <c r="C816" s="60" t="s">
        <v>556</v>
      </c>
      <c r="D816" s="60">
        <v>1.0</v>
      </c>
      <c r="E816" s="60">
        <v>1.6</v>
      </c>
      <c r="F816" s="60">
        <v>1.6</v>
      </c>
      <c r="G816" s="118" t="s">
        <v>553</v>
      </c>
      <c r="H816" s="116"/>
      <c r="I816" s="116"/>
    </row>
    <row r="817">
      <c r="A817" s="117">
        <v>46032.951712685186</v>
      </c>
      <c r="B817" s="60" t="s">
        <v>395</v>
      </c>
      <c r="C817" s="60" t="s">
        <v>152</v>
      </c>
      <c r="D817" s="60">
        <v>0.0</v>
      </c>
      <c r="E817" s="60">
        <v>50.0</v>
      </c>
      <c r="F817" s="60">
        <v>0.0</v>
      </c>
      <c r="G817" s="118" t="s">
        <v>553</v>
      </c>
      <c r="H817" s="116"/>
      <c r="I817" s="116"/>
    </row>
    <row r="818">
      <c r="A818" s="117">
        <v>46031.951729085646</v>
      </c>
      <c r="B818" s="60" t="s">
        <v>392</v>
      </c>
      <c r="C818" s="60" t="s">
        <v>429</v>
      </c>
      <c r="D818" s="60">
        <v>10.0</v>
      </c>
      <c r="E818" s="60">
        <v>1.0</v>
      </c>
      <c r="F818" s="60">
        <v>10.0</v>
      </c>
      <c r="G818" s="118" t="s">
        <v>557</v>
      </c>
      <c r="H818" s="116"/>
      <c r="I818" s="116"/>
    </row>
    <row r="819">
      <c r="A819" s="117">
        <v>46031.951729085646</v>
      </c>
      <c r="B819" s="60" t="s">
        <v>392</v>
      </c>
      <c r="C819" s="60" t="s">
        <v>170</v>
      </c>
      <c r="D819" s="60">
        <v>0.0</v>
      </c>
      <c r="E819" s="60">
        <v>2.5</v>
      </c>
      <c r="F819" s="60">
        <v>0.0</v>
      </c>
      <c r="G819" s="118" t="s">
        <v>557</v>
      </c>
      <c r="H819" s="116"/>
      <c r="I819" s="116"/>
    </row>
    <row r="820">
      <c r="A820" s="117">
        <v>46031.951729085646</v>
      </c>
      <c r="B820" s="60" t="s">
        <v>392</v>
      </c>
      <c r="C820" s="60" t="s">
        <v>212</v>
      </c>
      <c r="D820" s="60">
        <v>0.33</v>
      </c>
      <c r="E820" s="60">
        <v>10.0</v>
      </c>
      <c r="F820" s="60">
        <v>3.3</v>
      </c>
      <c r="G820" s="118" t="s">
        <v>557</v>
      </c>
      <c r="H820" s="116"/>
      <c r="I820" s="116"/>
    </row>
    <row r="821">
      <c r="A821" s="117">
        <v>46031.951729085646</v>
      </c>
      <c r="B821" s="60" t="s">
        <v>392</v>
      </c>
      <c r="C821" s="60" t="s">
        <v>280</v>
      </c>
      <c r="D821" s="60">
        <v>0.13</v>
      </c>
      <c r="E821" s="60">
        <v>60.0</v>
      </c>
      <c r="F821" s="60">
        <v>7.8</v>
      </c>
      <c r="G821" s="118" t="s">
        <v>557</v>
      </c>
      <c r="H821" s="116"/>
      <c r="I821" s="116"/>
    </row>
    <row r="822">
      <c r="A822" s="117">
        <v>46031.951729085646</v>
      </c>
      <c r="B822" s="60" t="s">
        <v>394</v>
      </c>
      <c r="C822" s="60" t="s">
        <v>89</v>
      </c>
      <c r="D822" s="60">
        <v>0.13</v>
      </c>
      <c r="E822" s="60">
        <v>69.2</v>
      </c>
      <c r="F822" s="60">
        <v>9.0</v>
      </c>
      <c r="G822" s="118" t="s">
        <v>557</v>
      </c>
      <c r="H822" s="116"/>
      <c r="I822" s="116"/>
    </row>
    <row r="823">
      <c r="A823" s="117">
        <v>46031.951729085646</v>
      </c>
      <c r="B823" s="60" t="s">
        <v>398</v>
      </c>
      <c r="C823" s="60" t="s">
        <v>558</v>
      </c>
      <c r="D823" s="60">
        <v>0.12</v>
      </c>
      <c r="E823" s="60">
        <v>8.3</v>
      </c>
      <c r="F823" s="60">
        <v>1.0</v>
      </c>
      <c r="G823" s="118" t="s">
        <v>557</v>
      </c>
      <c r="H823" s="116"/>
      <c r="I823" s="116"/>
    </row>
    <row r="824">
      <c r="A824" s="117">
        <v>46031.951729085646</v>
      </c>
      <c r="B824" s="60" t="s">
        <v>395</v>
      </c>
      <c r="C824" s="60" t="s">
        <v>438</v>
      </c>
      <c r="D824" s="60">
        <v>0.0</v>
      </c>
      <c r="E824" s="60">
        <v>50.0</v>
      </c>
      <c r="F824" s="60">
        <v>0.0</v>
      </c>
      <c r="G824" s="118" t="s">
        <v>557</v>
      </c>
      <c r="H824" s="116"/>
      <c r="I824" s="116"/>
    </row>
    <row r="825">
      <c r="A825" s="117">
        <v>46031.951729085646</v>
      </c>
      <c r="B825" s="60" t="s">
        <v>395</v>
      </c>
      <c r="C825" s="60" t="s">
        <v>559</v>
      </c>
      <c r="D825" s="60">
        <v>21.0</v>
      </c>
      <c r="E825" s="60">
        <v>1.0</v>
      </c>
      <c r="F825" s="60">
        <v>21.0</v>
      </c>
      <c r="G825" s="118" t="s">
        <v>557</v>
      </c>
      <c r="H825" s="116"/>
      <c r="I825" s="116"/>
    </row>
    <row r="826">
      <c r="A826" s="117">
        <v>46031.951729085646</v>
      </c>
      <c r="B826" s="60" t="s">
        <v>395</v>
      </c>
      <c r="C826" s="60" t="s">
        <v>104</v>
      </c>
      <c r="D826" s="60">
        <v>0.05</v>
      </c>
      <c r="E826" s="60">
        <v>15.0</v>
      </c>
      <c r="F826" s="60">
        <v>0.75</v>
      </c>
      <c r="G826" s="118" t="s">
        <v>557</v>
      </c>
      <c r="H826" s="116"/>
      <c r="I826" s="116"/>
    </row>
    <row r="827">
      <c r="A827" s="117">
        <v>46031.951729085646</v>
      </c>
      <c r="B827" s="60" t="s">
        <v>395</v>
      </c>
      <c r="C827" s="60" t="s">
        <v>326</v>
      </c>
      <c r="D827" s="60">
        <v>0.1</v>
      </c>
      <c r="E827" s="60">
        <v>10.0</v>
      </c>
      <c r="F827" s="60">
        <v>1.0</v>
      </c>
      <c r="G827" s="118" t="s">
        <v>557</v>
      </c>
      <c r="H827" s="116"/>
      <c r="I827" s="116"/>
    </row>
    <row r="828">
      <c r="A828" s="117">
        <v>46031.951729085646</v>
      </c>
      <c r="B828" s="60" t="s">
        <v>395</v>
      </c>
      <c r="C828" s="60" t="s">
        <v>443</v>
      </c>
      <c r="D828" s="60">
        <v>0.15</v>
      </c>
      <c r="E828" s="60">
        <v>5.0</v>
      </c>
      <c r="F828" s="60">
        <v>0.75</v>
      </c>
      <c r="G828" s="118" t="s">
        <v>557</v>
      </c>
      <c r="H828" s="116"/>
      <c r="I828" s="116"/>
    </row>
    <row r="829">
      <c r="A829" s="117">
        <v>46031.951729085646</v>
      </c>
      <c r="B829" s="60" t="s">
        <v>395</v>
      </c>
      <c r="C829" s="60" t="s">
        <v>496</v>
      </c>
      <c r="D829" s="60">
        <v>4.0</v>
      </c>
      <c r="E829" s="60">
        <v>1.0</v>
      </c>
      <c r="F829" s="60">
        <v>4.0</v>
      </c>
      <c r="G829" s="118" t="s">
        <v>557</v>
      </c>
      <c r="H829" s="116"/>
      <c r="I829" s="116"/>
    </row>
    <row r="830">
      <c r="A830" s="117">
        <v>46030.95177746528</v>
      </c>
      <c r="B830" s="60" t="s">
        <v>392</v>
      </c>
      <c r="C830" s="60" t="s">
        <v>429</v>
      </c>
      <c r="D830" s="60">
        <v>10.0</v>
      </c>
      <c r="E830" s="60">
        <v>1.5</v>
      </c>
      <c r="F830" s="60">
        <v>15.0</v>
      </c>
      <c r="G830" s="118" t="s">
        <v>560</v>
      </c>
      <c r="H830" s="116"/>
      <c r="I830" s="116"/>
    </row>
    <row r="831">
      <c r="A831" s="117">
        <v>46030.95177746528</v>
      </c>
      <c r="B831" s="60" t="s">
        <v>392</v>
      </c>
      <c r="C831" s="60" t="s">
        <v>89</v>
      </c>
      <c r="D831" s="60">
        <v>0.13</v>
      </c>
      <c r="E831" s="60">
        <v>40.0</v>
      </c>
      <c r="F831" s="60">
        <v>5.2</v>
      </c>
      <c r="G831" s="118" t="s">
        <v>560</v>
      </c>
      <c r="H831" s="116"/>
      <c r="I831" s="116"/>
    </row>
    <row r="832">
      <c r="A832" s="117">
        <v>46030.95177746528</v>
      </c>
      <c r="B832" s="60" t="s">
        <v>392</v>
      </c>
      <c r="C832" s="60" t="s">
        <v>233</v>
      </c>
      <c r="D832" s="60">
        <v>0.13</v>
      </c>
      <c r="E832" s="60">
        <v>18.0</v>
      </c>
      <c r="F832" s="60">
        <v>2.34</v>
      </c>
      <c r="G832" s="118" t="s">
        <v>560</v>
      </c>
      <c r="H832" s="116"/>
      <c r="I832" s="116"/>
    </row>
    <row r="833">
      <c r="A833" s="117">
        <v>46030.95177746528</v>
      </c>
      <c r="B833" s="60" t="s">
        <v>392</v>
      </c>
      <c r="C833" s="60" t="s">
        <v>111</v>
      </c>
      <c r="D833" s="60">
        <v>0.12</v>
      </c>
      <c r="E833" s="60">
        <v>40.0</v>
      </c>
      <c r="F833" s="60">
        <v>4.8</v>
      </c>
      <c r="G833" s="118" t="s">
        <v>560</v>
      </c>
      <c r="H833" s="116"/>
      <c r="I833" s="116"/>
    </row>
    <row r="834">
      <c r="A834" s="117">
        <v>46030.95177746528</v>
      </c>
      <c r="B834" s="60" t="s">
        <v>395</v>
      </c>
      <c r="C834" s="60" t="s">
        <v>551</v>
      </c>
      <c r="D834" s="60">
        <v>12.0</v>
      </c>
      <c r="E834" s="60">
        <v>1.0</v>
      </c>
      <c r="F834" s="60">
        <v>12.0</v>
      </c>
      <c r="G834" s="118" t="s">
        <v>560</v>
      </c>
      <c r="H834" s="116"/>
      <c r="I834" s="116"/>
    </row>
    <row r="835">
      <c r="A835" s="117">
        <v>46030.95177746528</v>
      </c>
      <c r="B835" s="60" t="s">
        <v>395</v>
      </c>
      <c r="C835" s="60" t="s">
        <v>533</v>
      </c>
      <c r="D835" s="60">
        <v>1.0</v>
      </c>
      <c r="E835" s="60">
        <v>138.0</v>
      </c>
      <c r="F835" s="60">
        <v>7.7</v>
      </c>
      <c r="G835" s="118" t="s">
        <v>560</v>
      </c>
      <c r="H835" s="116"/>
      <c r="I835" s="116"/>
    </row>
    <row r="836">
      <c r="A836" s="117">
        <v>46030.95177746528</v>
      </c>
      <c r="B836" s="60" t="s">
        <v>395</v>
      </c>
      <c r="C836" s="60" t="s">
        <v>222</v>
      </c>
      <c r="D836" s="60">
        <v>0.02</v>
      </c>
      <c r="E836" s="60">
        <v>492.0</v>
      </c>
      <c r="F836" s="60">
        <v>9.84</v>
      </c>
      <c r="G836" s="118" t="s">
        <v>560</v>
      </c>
      <c r="H836" s="116"/>
      <c r="I836" s="116"/>
    </row>
    <row r="837">
      <c r="A837" s="117">
        <v>46030.95177746528</v>
      </c>
      <c r="B837" s="60" t="s">
        <v>395</v>
      </c>
      <c r="C837" s="60" t="s">
        <v>104</v>
      </c>
      <c r="D837" s="60">
        <v>0.05</v>
      </c>
      <c r="E837" s="60">
        <v>170.0</v>
      </c>
      <c r="F837" s="60">
        <v>8.5</v>
      </c>
      <c r="G837" s="118" t="s">
        <v>560</v>
      </c>
      <c r="H837" s="116"/>
      <c r="I837" s="116"/>
    </row>
    <row r="838">
      <c r="A838" s="117">
        <v>46030.95177746528</v>
      </c>
      <c r="B838" s="60" t="s">
        <v>395</v>
      </c>
      <c r="C838" s="60" t="s">
        <v>163</v>
      </c>
      <c r="D838" s="60">
        <v>0.03</v>
      </c>
      <c r="E838" s="60">
        <v>300.0</v>
      </c>
      <c r="F838" s="60">
        <v>9.0</v>
      </c>
      <c r="G838" s="118" t="s">
        <v>560</v>
      </c>
      <c r="H838" s="116"/>
      <c r="I838" s="116"/>
    </row>
    <row r="839">
      <c r="A839" s="117">
        <v>46030.95177746528</v>
      </c>
      <c r="B839" s="60" t="s">
        <v>395</v>
      </c>
      <c r="C839" s="60" t="s">
        <v>561</v>
      </c>
      <c r="D839" s="60">
        <v>0.16</v>
      </c>
      <c r="E839" s="60">
        <v>311.0</v>
      </c>
      <c r="F839" s="60">
        <v>49.76</v>
      </c>
      <c r="G839" s="118" t="s">
        <v>560</v>
      </c>
      <c r="H839" s="116"/>
      <c r="I839" s="116"/>
    </row>
    <row r="840">
      <c r="A840" s="117">
        <v>46030.95177746528</v>
      </c>
      <c r="B840" s="60" t="s">
        <v>395</v>
      </c>
      <c r="C840" s="60" t="s">
        <v>213</v>
      </c>
      <c r="D840" s="60">
        <v>0.0</v>
      </c>
      <c r="E840" s="60">
        <v>96.0</v>
      </c>
      <c r="F840" s="60">
        <v>0.0</v>
      </c>
      <c r="G840" s="118" t="s">
        <v>560</v>
      </c>
      <c r="H840" s="116"/>
      <c r="I840" s="116"/>
    </row>
    <row r="841">
      <c r="A841" s="117">
        <v>46030.95177746528</v>
      </c>
      <c r="B841" s="60" t="s">
        <v>395</v>
      </c>
      <c r="C841" s="60" t="s">
        <v>542</v>
      </c>
      <c r="D841" s="60">
        <v>1.0</v>
      </c>
      <c r="E841" s="60">
        <v>1.0</v>
      </c>
      <c r="F841" s="60">
        <v>1.0</v>
      </c>
      <c r="G841" s="118" t="s">
        <v>560</v>
      </c>
      <c r="H841" s="116"/>
      <c r="I841" s="116"/>
    </row>
    <row r="842">
      <c r="A842" s="117">
        <v>46030.95177746528</v>
      </c>
      <c r="B842" s="60" t="s">
        <v>395</v>
      </c>
      <c r="C842" s="60" t="s">
        <v>542</v>
      </c>
      <c r="D842" s="60">
        <v>0.0</v>
      </c>
      <c r="E842" s="60">
        <v>1.0</v>
      </c>
      <c r="F842" s="60">
        <v>0.0</v>
      </c>
      <c r="G842" s="118" t="s">
        <v>560</v>
      </c>
      <c r="H842" s="116"/>
      <c r="I842" s="116"/>
    </row>
    <row r="843">
      <c r="A843" s="117">
        <v>46030.95177746528</v>
      </c>
      <c r="B843" s="60" t="s">
        <v>395</v>
      </c>
      <c r="C843" s="60" t="s">
        <v>352</v>
      </c>
      <c r="D843" s="60">
        <v>0.0</v>
      </c>
      <c r="E843" s="60">
        <v>29.0</v>
      </c>
      <c r="F843" s="60">
        <v>0.0</v>
      </c>
      <c r="G843" s="118" t="s">
        <v>560</v>
      </c>
      <c r="H843" s="116"/>
      <c r="I843" s="116"/>
    </row>
    <row r="844">
      <c r="A844" s="117">
        <v>46029.95172603009</v>
      </c>
      <c r="B844" s="60" t="s">
        <v>392</v>
      </c>
      <c r="C844" s="60" t="s">
        <v>170</v>
      </c>
      <c r="D844" s="60">
        <v>0.0</v>
      </c>
      <c r="E844" s="60">
        <v>2.5</v>
      </c>
      <c r="F844" s="60">
        <v>0.0</v>
      </c>
      <c r="G844" s="118" t="s">
        <v>562</v>
      </c>
      <c r="H844" s="116"/>
      <c r="I844" s="116"/>
    </row>
    <row r="845">
      <c r="A845" s="117">
        <v>46029.95172603009</v>
      </c>
      <c r="B845" s="60" t="s">
        <v>392</v>
      </c>
      <c r="C845" s="60" t="s">
        <v>429</v>
      </c>
      <c r="D845" s="60">
        <v>10.0</v>
      </c>
      <c r="E845" s="60">
        <v>1.0</v>
      </c>
      <c r="F845" s="60">
        <v>10.0</v>
      </c>
      <c r="G845" s="118" t="s">
        <v>562</v>
      </c>
      <c r="H845" s="116"/>
      <c r="I845" s="116"/>
    </row>
    <row r="846">
      <c r="A846" s="117">
        <v>46029.95172603009</v>
      </c>
      <c r="B846" s="60" t="s">
        <v>392</v>
      </c>
      <c r="C846" s="60" t="s">
        <v>325</v>
      </c>
      <c r="D846" s="60">
        <v>0.05</v>
      </c>
      <c r="E846" s="60">
        <v>80.0</v>
      </c>
      <c r="F846" s="60">
        <v>4.0</v>
      </c>
      <c r="G846" s="118" t="s">
        <v>562</v>
      </c>
      <c r="H846" s="116"/>
      <c r="I846" s="116"/>
    </row>
    <row r="847">
      <c r="A847" s="117">
        <v>46029.95172603009</v>
      </c>
      <c r="B847" s="60" t="s">
        <v>392</v>
      </c>
      <c r="C847" s="60" t="s">
        <v>212</v>
      </c>
      <c r="D847" s="60">
        <v>0.33</v>
      </c>
      <c r="E847" s="60">
        <v>10.0</v>
      </c>
      <c r="F847" s="60">
        <v>3.3</v>
      </c>
      <c r="G847" s="118" t="s">
        <v>562</v>
      </c>
      <c r="H847" s="116"/>
      <c r="I847" s="116"/>
    </row>
    <row r="848">
      <c r="A848" s="117">
        <v>46029.95172603009</v>
      </c>
      <c r="B848" s="60" t="s">
        <v>397</v>
      </c>
      <c r="C848" s="60" t="s">
        <v>87</v>
      </c>
      <c r="D848" s="60">
        <v>0.27</v>
      </c>
      <c r="E848" s="60">
        <v>110.0</v>
      </c>
      <c r="F848" s="60">
        <v>29.7</v>
      </c>
      <c r="G848" s="118" t="s">
        <v>562</v>
      </c>
      <c r="H848" s="116"/>
      <c r="I848" s="116"/>
    </row>
    <row r="849">
      <c r="A849" s="117">
        <v>46029.95172603009</v>
      </c>
      <c r="B849" s="60" t="s">
        <v>395</v>
      </c>
      <c r="C849" s="60" t="s">
        <v>328</v>
      </c>
      <c r="D849" s="60">
        <v>0.07</v>
      </c>
      <c r="E849" s="60">
        <v>18.0</v>
      </c>
      <c r="F849" s="60">
        <v>1.26</v>
      </c>
      <c r="G849" s="118" t="s">
        <v>562</v>
      </c>
      <c r="H849" s="116"/>
      <c r="I849" s="116"/>
    </row>
    <row r="850">
      <c r="A850" s="117">
        <v>46029.95172603009</v>
      </c>
      <c r="B850" s="60" t="s">
        <v>395</v>
      </c>
      <c r="C850" s="60" t="s">
        <v>548</v>
      </c>
      <c r="D850" s="60">
        <v>1.0</v>
      </c>
      <c r="E850" s="60">
        <v>2.0</v>
      </c>
      <c r="F850" s="60">
        <v>2.0</v>
      </c>
      <c r="G850" s="118" t="s">
        <v>562</v>
      </c>
      <c r="H850" s="116"/>
      <c r="I850" s="116"/>
    </row>
    <row r="851">
      <c r="A851" s="117">
        <v>46029.95172603009</v>
      </c>
      <c r="B851" s="60" t="s">
        <v>395</v>
      </c>
      <c r="C851" s="60" t="s">
        <v>563</v>
      </c>
      <c r="D851" s="60">
        <v>42.0</v>
      </c>
      <c r="E851" s="60">
        <v>0.3</v>
      </c>
      <c r="F851" s="60">
        <v>12.6</v>
      </c>
      <c r="G851" s="118" t="s">
        <v>562</v>
      </c>
      <c r="H851" s="116"/>
      <c r="I851" s="116"/>
    </row>
    <row r="852">
      <c r="A852" s="117">
        <v>46029.95172603009</v>
      </c>
      <c r="B852" s="60" t="s">
        <v>395</v>
      </c>
      <c r="C852" s="60" t="s">
        <v>163</v>
      </c>
      <c r="D852" s="60">
        <v>0.03</v>
      </c>
      <c r="E852" s="60">
        <v>33.0</v>
      </c>
      <c r="F852" s="60">
        <v>0.99</v>
      </c>
      <c r="G852" s="118" t="s">
        <v>562</v>
      </c>
      <c r="H852" s="116"/>
      <c r="I852" s="116"/>
    </row>
    <row r="853">
      <c r="A853" s="117">
        <v>46029.95172603009</v>
      </c>
      <c r="B853" s="60" t="s">
        <v>395</v>
      </c>
      <c r="C853" s="60" t="s">
        <v>444</v>
      </c>
      <c r="D853" s="60">
        <v>0.07</v>
      </c>
      <c r="E853" s="60">
        <v>30.0</v>
      </c>
      <c r="F853" s="60">
        <v>2.1</v>
      </c>
      <c r="G853" s="118" t="s">
        <v>562</v>
      </c>
      <c r="H853" s="116"/>
      <c r="I853" s="116"/>
    </row>
    <row r="854">
      <c r="A854" s="117">
        <v>46028.951751608794</v>
      </c>
      <c r="B854" s="60" t="s">
        <v>395</v>
      </c>
      <c r="C854" s="60" t="s">
        <v>559</v>
      </c>
      <c r="D854" s="60">
        <v>21.0</v>
      </c>
      <c r="E854" s="60">
        <v>1.0</v>
      </c>
      <c r="F854" s="60">
        <v>21.0</v>
      </c>
      <c r="G854" s="118" t="s">
        <v>564</v>
      </c>
      <c r="H854" s="116"/>
      <c r="I854" s="116"/>
    </row>
    <row r="855">
      <c r="A855" s="117">
        <v>46028.951751608794</v>
      </c>
      <c r="B855" s="60" t="s">
        <v>395</v>
      </c>
      <c r="C855" s="60" t="s">
        <v>206</v>
      </c>
      <c r="D855" s="60">
        <v>0.08</v>
      </c>
      <c r="E855" s="60">
        <v>38.5</v>
      </c>
      <c r="F855" s="60">
        <v>3.08</v>
      </c>
      <c r="G855" s="118" t="s">
        <v>564</v>
      </c>
      <c r="H855" s="116"/>
      <c r="I855" s="116"/>
    </row>
    <row r="856">
      <c r="A856" s="117">
        <v>46028.951751608794</v>
      </c>
      <c r="B856" s="60" t="s">
        <v>395</v>
      </c>
      <c r="C856" s="60" t="s">
        <v>444</v>
      </c>
      <c r="D856" s="60">
        <v>0.07</v>
      </c>
      <c r="E856" s="60">
        <v>33.0</v>
      </c>
      <c r="F856" s="60">
        <v>2.31</v>
      </c>
      <c r="G856" s="118" t="s">
        <v>564</v>
      </c>
      <c r="H856" s="116"/>
      <c r="I856" s="116"/>
    </row>
    <row r="857">
      <c r="A857" s="117">
        <v>46028.951751608794</v>
      </c>
      <c r="B857" s="60" t="s">
        <v>395</v>
      </c>
      <c r="C857" s="60" t="s">
        <v>163</v>
      </c>
      <c r="D857" s="60">
        <v>0.03</v>
      </c>
      <c r="E857" s="60">
        <v>33.3</v>
      </c>
      <c r="F857" s="60">
        <v>1.0</v>
      </c>
      <c r="G857" s="118" t="s">
        <v>564</v>
      </c>
      <c r="H857" s="116"/>
      <c r="I857" s="116"/>
    </row>
    <row r="858">
      <c r="A858" s="117">
        <v>46025.94542042824</v>
      </c>
      <c r="B858" s="60" t="s">
        <v>392</v>
      </c>
      <c r="C858" s="60" t="s">
        <v>429</v>
      </c>
      <c r="D858" s="60">
        <v>10.0</v>
      </c>
      <c r="E858" s="60">
        <v>1.0</v>
      </c>
      <c r="F858" s="60">
        <v>10.0</v>
      </c>
      <c r="G858" s="118" t="s">
        <v>565</v>
      </c>
      <c r="H858" s="116"/>
      <c r="I858" s="116"/>
    </row>
    <row r="859">
      <c r="A859" s="117">
        <v>46025.94542042824</v>
      </c>
      <c r="B859" s="60" t="s">
        <v>392</v>
      </c>
      <c r="C859" s="60" t="s">
        <v>323</v>
      </c>
      <c r="D859" s="60">
        <v>0.02</v>
      </c>
      <c r="E859" s="60">
        <v>50.0</v>
      </c>
      <c r="F859" s="60">
        <v>1.0</v>
      </c>
      <c r="G859" s="118" t="s">
        <v>565</v>
      </c>
      <c r="H859" s="116"/>
      <c r="I859" s="116"/>
    </row>
    <row r="860">
      <c r="A860" s="117">
        <v>46025.94542042824</v>
      </c>
      <c r="B860" s="60" t="s">
        <v>392</v>
      </c>
      <c r="C860" s="60" t="s">
        <v>170</v>
      </c>
      <c r="D860" s="60">
        <v>0.0</v>
      </c>
      <c r="E860" s="60">
        <v>2.5</v>
      </c>
      <c r="F860" s="60">
        <v>0.0</v>
      </c>
      <c r="G860" s="118" t="s">
        <v>565</v>
      </c>
      <c r="H860" s="116"/>
      <c r="I860" s="116"/>
    </row>
    <row r="861">
      <c r="A861" s="117">
        <v>46025.94542042824</v>
      </c>
      <c r="B861" s="60" t="s">
        <v>392</v>
      </c>
      <c r="C861" s="60" t="s">
        <v>212</v>
      </c>
      <c r="D861" s="60">
        <v>0.33</v>
      </c>
      <c r="E861" s="60">
        <v>10.0</v>
      </c>
      <c r="F861" s="60">
        <v>3.3</v>
      </c>
      <c r="G861" s="118" t="s">
        <v>565</v>
      </c>
      <c r="H861" s="116"/>
      <c r="I861" s="116"/>
    </row>
    <row r="862">
      <c r="A862" s="117">
        <v>46025.94542042824</v>
      </c>
      <c r="B862" s="60" t="s">
        <v>392</v>
      </c>
      <c r="C862" s="60" t="s">
        <v>325</v>
      </c>
      <c r="D862" s="60">
        <v>0.05</v>
      </c>
      <c r="E862" s="60">
        <v>40.0</v>
      </c>
      <c r="F862" s="60">
        <v>2.0</v>
      </c>
      <c r="G862" s="118" t="s">
        <v>565</v>
      </c>
      <c r="H862" s="116"/>
      <c r="I862" s="116"/>
    </row>
    <row r="863">
      <c r="A863" s="117">
        <v>46025.94542042824</v>
      </c>
      <c r="B863" s="60" t="s">
        <v>392</v>
      </c>
      <c r="C863" s="60" t="s">
        <v>98</v>
      </c>
      <c r="D863" s="60">
        <v>0.18</v>
      </c>
      <c r="E863" s="60">
        <v>42.0</v>
      </c>
      <c r="F863" s="60">
        <v>7.56</v>
      </c>
      <c r="G863" s="118" t="s">
        <v>565</v>
      </c>
      <c r="H863" s="116"/>
      <c r="I863" s="116"/>
    </row>
    <row r="864">
      <c r="A864" s="117">
        <v>46025.94542042824</v>
      </c>
      <c r="B864" s="60" t="s">
        <v>397</v>
      </c>
      <c r="C864" s="60" t="s">
        <v>444</v>
      </c>
      <c r="D864" s="60">
        <v>0.07</v>
      </c>
      <c r="E864" s="60">
        <v>25.0</v>
      </c>
      <c r="F864" s="60">
        <v>1.75</v>
      </c>
      <c r="G864" s="118" t="s">
        <v>565</v>
      </c>
      <c r="H864" s="116"/>
      <c r="I864" s="116"/>
    </row>
    <row r="865">
      <c r="A865" s="117">
        <v>46025.94542042824</v>
      </c>
      <c r="B865" s="60" t="s">
        <v>397</v>
      </c>
      <c r="C865" s="60" t="s">
        <v>104</v>
      </c>
      <c r="D865" s="60">
        <v>0.05</v>
      </c>
      <c r="E865" s="60">
        <v>47.0</v>
      </c>
      <c r="F865" s="60">
        <v>2.35</v>
      </c>
      <c r="G865" s="118" t="s">
        <v>565</v>
      </c>
      <c r="H865" s="116"/>
      <c r="I865" s="116"/>
    </row>
    <row r="866">
      <c r="A866" s="117">
        <v>46025.94542042824</v>
      </c>
      <c r="B866" s="60" t="s">
        <v>397</v>
      </c>
      <c r="C866" s="60" t="s">
        <v>429</v>
      </c>
      <c r="D866" s="60">
        <v>10.0</v>
      </c>
      <c r="E866" s="60">
        <v>1.0</v>
      </c>
      <c r="F866" s="60">
        <v>10.0</v>
      </c>
      <c r="G866" s="118" t="s">
        <v>565</v>
      </c>
      <c r="H866" s="116"/>
      <c r="I866" s="116"/>
    </row>
    <row r="867">
      <c r="A867" s="117">
        <v>46025.94542042824</v>
      </c>
      <c r="B867" s="60" t="s">
        <v>397</v>
      </c>
      <c r="C867" s="60" t="s">
        <v>566</v>
      </c>
      <c r="D867" s="60">
        <v>0.25</v>
      </c>
      <c r="E867" s="60">
        <v>8.0</v>
      </c>
      <c r="F867" s="60">
        <v>2.0</v>
      </c>
      <c r="G867" s="118" t="s">
        <v>565</v>
      </c>
      <c r="H867" s="116"/>
      <c r="I867" s="116"/>
    </row>
    <row r="868">
      <c r="A868" s="117">
        <v>46025.94542042824</v>
      </c>
      <c r="B868" s="60" t="s">
        <v>397</v>
      </c>
      <c r="C868" s="60" t="s">
        <v>567</v>
      </c>
      <c r="D868" s="60">
        <v>12.0</v>
      </c>
      <c r="E868" s="60">
        <v>1.0</v>
      </c>
      <c r="F868" s="60">
        <v>12.0</v>
      </c>
      <c r="G868" s="118" t="s">
        <v>565</v>
      </c>
      <c r="H868" s="116"/>
      <c r="I868" s="116"/>
    </row>
    <row r="869">
      <c r="A869" s="117">
        <v>46025.94542042824</v>
      </c>
      <c r="B869" s="60" t="s">
        <v>395</v>
      </c>
      <c r="C869" s="60" t="s">
        <v>222</v>
      </c>
      <c r="D869" s="60">
        <v>0.02</v>
      </c>
      <c r="E869" s="60">
        <v>508.0</v>
      </c>
      <c r="F869" s="60">
        <v>10.16</v>
      </c>
      <c r="G869" s="118" t="s">
        <v>565</v>
      </c>
      <c r="H869" s="116"/>
      <c r="I869" s="116"/>
    </row>
    <row r="870">
      <c r="A870" s="117">
        <v>46025.94542042824</v>
      </c>
      <c r="B870" s="60" t="s">
        <v>395</v>
      </c>
      <c r="C870" s="60" t="s">
        <v>152</v>
      </c>
      <c r="D870" s="60">
        <v>0.0</v>
      </c>
      <c r="E870" s="60">
        <v>314.0</v>
      </c>
      <c r="F870" s="60">
        <v>0.0</v>
      </c>
      <c r="G870" s="118" t="s">
        <v>565</v>
      </c>
      <c r="H870" s="116"/>
      <c r="I870" s="116"/>
    </row>
    <row r="871">
      <c r="A871" s="117">
        <v>46025.94542042824</v>
      </c>
      <c r="B871" s="60" t="s">
        <v>395</v>
      </c>
      <c r="C871" s="60" t="s">
        <v>104</v>
      </c>
      <c r="D871" s="60">
        <v>0.05</v>
      </c>
      <c r="E871" s="60">
        <v>165.99</v>
      </c>
      <c r="F871" s="60">
        <v>8.3</v>
      </c>
      <c r="G871" s="118" t="s">
        <v>565</v>
      </c>
      <c r="H871" s="116"/>
      <c r="I871" s="116"/>
    </row>
    <row r="872">
      <c r="A872" s="117">
        <v>46025.94542042824</v>
      </c>
      <c r="B872" s="60" t="s">
        <v>395</v>
      </c>
      <c r="C872" s="60" t="s">
        <v>115</v>
      </c>
      <c r="D872" s="60">
        <v>0.03</v>
      </c>
      <c r="E872" s="60">
        <v>160.0</v>
      </c>
      <c r="F872" s="60">
        <v>4.8</v>
      </c>
      <c r="G872" s="118" t="s">
        <v>565</v>
      </c>
      <c r="H872" s="116"/>
      <c r="I872" s="116"/>
    </row>
    <row r="873">
      <c r="A873" s="117">
        <v>46025.94542042824</v>
      </c>
      <c r="B873" s="60" t="s">
        <v>395</v>
      </c>
      <c r="C873" s="60" t="s">
        <v>213</v>
      </c>
      <c r="D873" s="60">
        <v>0.0</v>
      </c>
      <c r="E873" s="60">
        <v>60.0</v>
      </c>
      <c r="F873" s="60">
        <v>0.0</v>
      </c>
      <c r="G873" s="118" t="s">
        <v>565</v>
      </c>
      <c r="H873" s="116"/>
      <c r="I873" s="116"/>
    </row>
    <row r="874">
      <c r="A874" s="117">
        <v>46025.94542042824</v>
      </c>
      <c r="B874" s="60" t="s">
        <v>395</v>
      </c>
      <c r="C874" s="60" t="s">
        <v>238</v>
      </c>
      <c r="D874" s="60">
        <v>0.0</v>
      </c>
      <c r="E874" s="60">
        <v>9.0</v>
      </c>
      <c r="F874" s="60">
        <v>0.0</v>
      </c>
      <c r="G874" s="118" t="s">
        <v>565</v>
      </c>
      <c r="H874" s="116"/>
      <c r="I874" s="116"/>
    </row>
    <row r="875">
      <c r="A875" s="117">
        <v>46025.94542042824</v>
      </c>
      <c r="B875" s="60" t="s">
        <v>395</v>
      </c>
      <c r="C875" s="60" t="s">
        <v>352</v>
      </c>
      <c r="D875" s="60">
        <v>0.0</v>
      </c>
      <c r="E875" s="60">
        <v>7.0</v>
      </c>
      <c r="F875" s="60">
        <v>0.0</v>
      </c>
      <c r="G875" s="118" t="s">
        <v>565</v>
      </c>
      <c r="H875" s="116"/>
      <c r="I875" s="116"/>
    </row>
    <row r="876">
      <c r="A876" s="117">
        <v>46025.94542042824</v>
      </c>
      <c r="B876" s="60" t="s">
        <v>395</v>
      </c>
      <c r="C876" s="60" t="s">
        <v>189</v>
      </c>
      <c r="D876" s="60">
        <v>0.14</v>
      </c>
      <c r="E876" s="60">
        <v>70.0</v>
      </c>
      <c r="F876" s="60">
        <v>9.8</v>
      </c>
      <c r="G876" s="118" t="s">
        <v>565</v>
      </c>
      <c r="H876" s="116"/>
      <c r="I876" s="116"/>
    </row>
    <row r="877">
      <c r="A877" s="117">
        <v>46025.94542042824</v>
      </c>
      <c r="B877" s="60" t="s">
        <v>395</v>
      </c>
      <c r="C877" s="60" t="s">
        <v>163</v>
      </c>
      <c r="D877" s="60">
        <v>0.03</v>
      </c>
      <c r="E877" s="60">
        <v>30.0</v>
      </c>
      <c r="F877" s="60">
        <v>0.9</v>
      </c>
      <c r="G877" s="118" t="s">
        <v>565</v>
      </c>
      <c r="H877" s="116"/>
      <c r="I877" s="116"/>
    </row>
    <row r="878">
      <c r="A878" s="117">
        <v>46025.94542042824</v>
      </c>
      <c r="B878" s="60" t="s">
        <v>395</v>
      </c>
      <c r="C878" s="60" t="s">
        <v>533</v>
      </c>
      <c r="D878" s="60">
        <v>1.0</v>
      </c>
      <c r="E878" s="60">
        <v>124.0</v>
      </c>
      <c r="F878" s="60">
        <v>2.36</v>
      </c>
      <c r="G878" s="118" t="s">
        <v>565</v>
      </c>
      <c r="H878" s="116"/>
      <c r="I878" s="116"/>
    </row>
    <row r="879">
      <c r="A879" s="117">
        <v>46025.94542042824</v>
      </c>
      <c r="B879" s="60" t="s">
        <v>395</v>
      </c>
      <c r="C879" s="60" t="s">
        <v>326</v>
      </c>
      <c r="D879" s="60">
        <v>0.1</v>
      </c>
      <c r="E879" s="60">
        <v>25.0</v>
      </c>
      <c r="F879" s="60">
        <v>2.5</v>
      </c>
      <c r="G879" s="118" t="s">
        <v>565</v>
      </c>
      <c r="H879" s="116"/>
      <c r="I879" s="116"/>
    </row>
    <row r="880">
      <c r="A880" s="117">
        <v>46024.94527098379</v>
      </c>
      <c r="B880" s="60" t="s">
        <v>392</v>
      </c>
      <c r="C880" s="60" t="s">
        <v>429</v>
      </c>
      <c r="D880" s="60">
        <v>10.0</v>
      </c>
      <c r="E880" s="60">
        <v>1.0</v>
      </c>
      <c r="F880" s="60">
        <v>10.0</v>
      </c>
      <c r="G880" s="118" t="s">
        <v>568</v>
      </c>
      <c r="H880" s="116"/>
      <c r="I880" s="116"/>
    </row>
    <row r="881">
      <c r="A881" s="117">
        <v>46024.94527098379</v>
      </c>
      <c r="B881" s="60" t="s">
        <v>392</v>
      </c>
      <c r="C881" s="60" t="s">
        <v>233</v>
      </c>
      <c r="D881" s="60">
        <v>0.13</v>
      </c>
      <c r="E881" s="60">
        <v>10.0</v>
      </c>
      <c r="F881" s="60">
        <v>1.3</v>
      </c>
      <c r="G881" s="118" t="s">
        <v>568</v>
      </c>
      <c r="H881" s="116"/>
      <c r="I881" s="116"/>
    </row>
    <row r="882">
      <c r="A882" s="117">
        <v>46024.94527098379</v>
      </c>
      <c r="B882" s="60" t="s">
        <v>392</v>
      </c>
      <c r="C882" s="60" t="s">
        <v>325</v>
      </c>
      <c r="D882" s="60">
        <v>0.05</v>
      </c>
      <c r="E882" s="60">
        <v>60.0</v>
      </c>
      <c r="F882" s="60">
        <v>3.0</v>
      </c>
      <c r="G882" s="118" t="s">
        <v>568</v>
      </c>
      <c r="H882" s="116"/>
      <c r="I882" s="116"/>
    </row>
    <row r="883">
      <c r="A883" s="117">
        <v>46024.94527098379</v>
      </c>
      <c r="B883" s="60" t="s">
        <v>392</v>
      </c>
      <c r="C883" s="60" t="s">
        <v>504</v>
      </c>
      <c r="D883" s="60">
        <v>5.0</v>
      </c>
      <c r="E883" s="60">
        <v>1.0</v>
      </c>
      <c r="F883" s="60">
        <v>5.0</v>
      </c>
      <c r="G883" s="118" t="s">
        <v>568</v>
      </c>
      <c r="H883" s="116"/>
      <c r="I883" s="116"/>
    </row>
    <row r="884">
      <c r="A884" s="117">
        <v>46024.94527098379</v>
      </c>
      <c r="B884" s="60" t="s">
        <v>397</v>
      </c>
      <c r="C884" s="60" t="s">
        <v>170</v>
      </c>
      <c r="D884" s="60">
        <v>0.0</v>
      </c>
      <c r="E884" s="60">
        <v>2.0</v>
      </c>
      <c r="F884" s="60">
        <v>0.0</v>
      </c>
      <c r="G884" s="118" t="s">
        <v>568</v>
      </c>
      <c r="H884" s="116"/>
      <c r="I884" s="116"/>
    </row>
    <row r="885">
      <c r="A885" s="117">
        <v>46024.94527098379</v>
      </c>
      <c r="B885" s="60" t="s">
        <v>397</v>
      </c>
      <c r="C885" s="60" t="s">
        <v>212</v>
      </c>
      <c r="D885" s="60">
        <v>0.33</v>
      </c>
      <c r="E885" s="60">
        <v>10.0</v>
      </c>
      <c r="F885" s="60">
        <v>3.3</v>
      </c>
      <c r="G885" s="118" t="s">
        <v>568</v>
      </c>
      <c r="H885" s="116"/>
      <c r="I885" s="116"/>
    </row>
    <row r="886">
      <c r="A886" s="117">
        <v>46024.94527098379</v>
      </c>
      <c r="B886" s="60" t="s">
        <v>397</v>
      </c>
      <c r="C886" s="60" t="s">
        <v>425</v>
      </c>
      <c r="D886" s="60">
        <v>5.0</v>
      </c>
      <c r="E886" s="60">
        <v>0.5</v>
      </c>
      <c r="F886" s="60">
        <v>2.5</v>
      </c>
      <c r="G886" s="118" t="s">
        <v>568</v>
      </c>
      <c r="H886" s="116"/>
      <c r="I886" s="116"/>
    </row>
    <row r="887">
      <c r="A887" s="117">
        <v>46024.94527098379</v>
      </c>
      <c r="B887" s="60" t="s">
        <v>397</v>
      </c>
      <c r="C887" s="60" t="s">
        <v>111</v>
      </c>
      <c r="D887" s="60">
        <v>0.12</v>
      </c>
      <c r="E887" s="60">
        <v>45.0</v>
      </c>
      <c r="F887" s="60">
        <v>5.4</v>
      </c>
      <c r="G887" s="118" t="s">
        <v>568</v>
      </c>
      <c r="H887" s="116"/>
      <c r="I887" s="116"/>
    </row>
    <row r="888">
      <c r="A888" s="117">
        <v>46024.94527098379</v>
      </c>
      <c r="B888" s="60" t="s">
        <v>397</v>
      </c>
      <c r="C888" s="60" t="s">
        <v>152</v>
      </c>
      <c r="D888" s="60">
        <v>0.0</v>
      </c>
      <c r="E888" s="60">
        <v>1.0</v>
      </c>
      <c r="F888" s="60">
        <v>0.0</v>
      </c>
      <c r="G888" s="118" t="s">
        <v>568</v>
      </c>
      <c r="H888" s="116"/>
      <c r="I888" s="116"/>
    </row>
    <row r="889">
      <c r="A889" s="117">
        <v>46024.94527098379</v>
      </c>
      <c r="B889" s="60" t="s">
        <v>397</v>
      </c>
      <c r="C889" s="60" t="s">
        <v>98</v>
      </c>
      <c r="D889" s="60">
        <v>0.12</v>
      </c>
      <c r="E889" s="60">
        <v>165.0</v>
      </c>
      <c r="F889" s="60">
        <v>24.75</v>
      </c>
      <c r="G889" s="118" t="s">
        <v>568</v>
      </c>
      <c r="H889" s="116"/>
      <c r="I889" s="116"/>
    </row>
    <row r="890">
      <c r="A890" s="117">
        <v>46023.94537614583</v>
      </c>
      <c r="B890" s="60" t="s">
        <v>392</v>
      </c>
      <c r="C890" s="60" t="s">
        <v>429</v>
      </c>
      <c r="D890" s="60">
        <v>10.0</v>
      </c>
      <c r="E890" s="60">
        <v>1.0</v>
      </c>
      <c r="F890" s="60">
        <v>10.0</v>
      </c>
      <c r="G890" s="118" t="s">
        <v>569</v>
      </c>
      <c r="H890" s="116"/>
      <c r="I890" s="116"/>
    </row>
    <row r="891">
      <c r="A891" s="117">
        <v>46023.94537614583</v>
      </c>
      <c r="B891" s="60" t="s">
        <v>392</v>
      </c>
      <c r="C891" s="60" t="s">
        <v>170</v>
      </c>
      <c r="D891" s="60">
        <v>0.0</v>
      </c>
      <c r="E891" s="60">
        <v>2.5</v>
      </c>
      <c r="F891" s="60">
        <v>0.0</v>
      </c>
      <c r="G891" s="118" t="s">
        <v>569</v>
      </c>
      <c r="H891" s="116"/>
      <c r="I891" s="116"/>
    </row>
    <row r="892">
      <c r="A892" s="117">
        <v>46023.94537614583</v>
      </c>
      <c r="B892" s="60" t="s">
        <v>392</v>
      </c>
      <c r="C892" s="60" t="s">
        <v>111</v>
      </c>
      <c r="D892" s="60">
        <v>0.12</v>
      </c>
      <c r="E892" s="60">
        <v>40.0</v>
      </c>
      <c r="F892" s="60">
        <v>4.8</v>
      </c>
      <c r="G892" s="118" t="s">
        <v>569</v>
      </c>
      <c r="H892" s="116"/>
      <c r="I892" s="116"/>
    </row>
    <row r="893">
      <c r="A893" s="117">
        <v>46023.94537614583</v>
      </c>
      <c r="B893" s="60" t="s">
        <v>392</v>
      </c>
      <c r="C893" s="60" t="s">
        <v>294</v>
      </c>
      <c r="D893" s="60">
        <v>0.05</v>
      </c>
      <c r="E893" s="60">
        <v>40.0</v>
      </c>
      <c r="F893" s="60">
        <v>2.0</v>
      </c>
      <c r="G893" s="118" t="s">
        <v>569</v>
      </c>
      <c r="H893" s="116"/>
      <c r="I893" s="116"/>
    </row>
    <row r="894">
      <c r="A894" s="117">
        <v>46023.94537614583</v>
      </c>
      <c r="B894" s="60" t="s">
        <v>392</v>
      </c>
      <c r="C894" s="60" t="s">
        <v>84</v>
      </c>
      <c r="D894" s="60">
        <v>1.0</v>
      </c>
      <c r="E894" s="60">
        <v>1.0</v>
      </c>
      <c r="F894" s="60">
        <v>1.0</v>
      </c>
      <c r="G894" s="118" t="s">
        <v>569</v>
      </c>
      <c r="H894" s="116"/>
      <c r="I894" s="116"/>
    </row>
    <row r="895">
      <c r="A895" s="117">
        <v>46023.94537614583</v>
      </c>
      <c r="B895" s="60" t="s">
        <v>392</v>
      </c>
      <c r="C895" s="60" t="s">
        <v>323</v>
      </c>
      <c r="D895" s="60">
        <v>0.02</v>
      </c>
      <c r="E895" s="60">
        <v>50.0</v>
      </c>
      <c r="F895" s="60">
        <v>1.0</v>
      </c>
      <c r="G895" s="118" t="s">
        <v>569</v>
      </c>
      <c r="H895" s="116"/>
      <c r="I895" s="116"/>
    </row>
    <row r="896">
      <c r="A896" s="117">
        <v>46023.94537614583</v>
      </c>
      <c r="B896" s="60" t="s">
        <v>397</v>
      </c>
      <c r="C896" s="60" t="s">
        <v>429</v>
      </c>
      <c r="D896" s="60">
        <v>10.0</v>
      </c>
      <c r="E896" s="60">
        <v>1.5</v>
      </c>
      <c r="F896" s="60">
        <v>15.0</v>
      </c>
      <c r="G896" s="118" t="s">
        <v>569</v>
      </c>
      <c r="H896" s="116"/>
      <c r="I896" s="116"/>
    </row>
    <row r="897">
      <c r="A897" s="117">
        <v>46023.94537614583</v>
      </c>
      <c r="B897" s="60" t="s">
        <v>397</v>
      </c>
      <c r="C897" s="60" t="s">
        <v>233</v>
      </c>
      <c r="D897" s="60">
        <v>2.34</v>
      </c>
      <c r="E897" s="60">
        <v>1.0</v>
      </c>
      <c r="F897" s="60">
        <v>2.34</v>
      </c>
      <c r="G897" s="118" t="s">
        <v>569</v>
      </c>
      <c r="H897" s="116"/>
      <c r="I897" s="116"/>
    </row>
    <row r="898">
      <c r="A898" s="117">
        <v>46023.94537614583</v>
      </c>
      <c r="B898" s="60" t="s">
        <v>397</v>
      </c>
      <c r="C898" s="60" t="s">
        <v>98</v>
      </c>
      <c r="D898" s="60">
        <v>0.21</v>
      </c>
      <c r="E898" s="60">
        <v>62.0</v>
      </c>
      <c r="F898" s="60">
        <v>13.02</v>
      </c>
      <c r="G898" s="118" t="s">
        <v>569</v>
      </c>
      <c r="H898" s="116"/>
      <c r="I898" s="116"/>
    </row>
    <row r="899">
      <c r="A899" s="117">
        <v>46023.94537614583</v>
      </c>
      <c r="B899" s="60" t="s">
        <v>395</v>
      </c>
      <c r="C899" s="60" t="s">
        <v>570</v>
      </c>
      <c r="D899" s="60">
        <v>3.33</v>
      </c>
      <c r="E899" s="60">
        <v>6.0</v>
      </c>
      <c r="F899" s="60">
        <v>19.98</v>
      </c>
      <c r="G899" s="118" t="s">
        <v>569</v>
      </c>
      <c r="H899" s="116"/>
      <c r="I899" s="116"/>
    </row>
    <row r="900">
      <c r="A900" s="117">
        <v>46023.94537614583</v>
      </c>
      <c r="B900" s="60" t="s">
        <v>395</v>
      </c>
      <c r="C900" s="60" t="s">
        <v>328</v>
      </c>
      <c r="D900" s="60">
        <v>0.07</v>
      </c>
      <c r="E900" s="60">
        <v>17.14</v>
      </c>
      <c r="F900" s="60">
        <v>1.2</v>
      </c>
      <c r="G900" s="118" t="s">
        <v>569</v>
      </c>
      <c r="H900" s="116"/>
      <c r="I900" s="116"/>
    </row>
    <row r="901">
      <c r="A901" s="117">
        <v>46023.94537614583</v>
      </c>
      <c r="B901" s="60" t="s">
        <v>395</v>
      </c>
      <c r="C901" s="60" t="s">
        <v>438</v>
      </c>
      <c r="D901" s="60">
        <v>0.0</v>
      </c>
      <c r="E901" s="60">
        <v>1.0</v>
      </c>
      <c r="F901" s="60">
        <v>0.0</v>
      </c>
      <c r="G901" s="118" t="s">
        <v>569</v>
      </c>
      <c r="H901" s="116"/>
      <c r="I901" s="116"/>
    </row>
    <row r="902">
      <c r="A902" s="117">
        <v>46023.94537614583</v>
      </c>
      <c r="B902" s="60" t="s">
        <v>395</v>
      </c>
      <c r="C902" s="60" t="s">
        <v>462</v>
      </c>
      <c r="D902" s="60">
        <v>0.02</v>
      </c>
      <c r="E902" s="60">
        <v>80.0</v>
      </c>
      <c r="F902" s="60">
        <v>1.6</v>
      </c>
      <c r="G902" s="118" t="s">
        <v>569</v>
      </c>
      <c r="H902" s="116"/>
      <c r="I902" s="116"/>
    </row>
    <row r="903">
      <c r="A903" s="117">
        <v>46023.94537614583</v>
      </c>
      <c r="B903" s="60" t="s">
        <v>395</v>
      </c>
      <c r="C903" s="60" t="s">
        <v>164</v>
      </c>
      <c r="D903" s="60">
        <v>0.0</v>
      </c>
      <c r="E903" s="60">
        <v>1.0</v>
      </c>
      <c r="F903" s="60">
        <v>0.0</v>
      </c>
      <c r="G903" s="118" t="s">
        <v>569</v>
      </c>
      <c r="H903" s="116"/>
      <c r="I903" s="116"/>
    </row>
    <row r="904">
      <c r="A904" s="117">
        <v>46023.94537614583</v>
      </c>
      <c r="B904" s="60" t="s">
        <v>395</v>
      </c>
      <c r="C904" s="60" t="s">
        <v>462</v>
      </c>
      <c r="D904" s="60">
        <v>0.02</v>
      </c>
      <c r="E904" s="60">
        <v>60.0</v>
      </c>
      <c r="F904" s="60">
        <v>1.2</v>
      </c>
      <c r="G904" s="118" t="s">
        <v>569</v>
      </c>
      <c r="H904" s="116"/>
      <c r="I904" s="116"/>
    </row>
    <row r="905">
      <c r="A905" s="117">
        <v>46022.94538767361</v>
      </c>
      <c r="B905" s="60" t="s">
        <v>392</v>
      </c>
      <c r="C905" s="60" t="s">
        <v>429</v>
      </c>
      <c r="D905" s="60">
        <v>10.0</v>
      </c>
      <c r="E905" s="60">
        <v>2.0</v>
      </c>
      <c r="F905" s="60">
        <v>20.0</v>
      </c>
      <c r="G905" s="118" t="s">
        <v>571</v>
      </c>
      <c r="H905" s="116"/>
      <c r="I905" s="116"/>
    </row>
    <row r="906">
      <c r="A906" s="117">
        <v>46022.94538767361</v>
      </c>
      <c r="B906" s="60" t="s">
        <v>392</v>
      </c>
      <c r="C906" s="60" t="s">
        <v>233</v>
      </c>
      <c r="D906" s="60">
        <v>0.13</v>
      </c>
      <c r="E906" s="60">
        <v>12.0</v>
      </c>
      <c r="F906" s="60">
        <v>1.56</v>
      </c>
      <c r="G906" s="118" t="s">
        <v>571</v>
      </c>
      <c r="H906" s="116"/>
      <c r="I906" s="116"/>
    </row>
    <row r="907">
      <c r="A907" s="117">
        <v>46022.94538767361</v>
      </c>
      <c r="B907" s="60" t="s">
        <v>392</v>
      </c>
      <c r="C907" s="60" t="s">
        <v>325</v>
      </c>
      <c r="D907" s="60">
        <v>0.05</v>
      </c>
      <c r="E907" s="60">
        <v>55.0</v>
      </c>
      <c r="F907" s="60">
        <v>2.75</v>
      </c>
      <c r="G907" s="118" t="s">
        <v>571</v>
      </c>
      <c r="H907" s="116"/>
      <c r="I907" s="116"/>
    </row>
    <row r="908">
      <c r="A908" s="117">
        <v>46022.94538767361</v>
      </c>
      <c r="B908" s="60" t="s">
        <v>392</v>
      </c>
      <c r="C908" s="60" t="s">
        <v>424</v>
      </c>
      <c r="D908" s="60">
        <v>0.27</v>
      </c>
      <c r="E908" s="60">
        <v>8.0</v>
      </c>
      <c r="F908" s="60">
        <v>2.16</v>
      </c>
      <c r="G908" s="118" t="s">
        <v>571</v>
      </c>
      <c r="H908" s="116"/>
      <c r="I908" s="116"/>
    </row>
    <row r="909">
      <c r="A909" s="117">
        <v>46022.94538767361</v>
      </c>
      <c r="B909" s="60" t="s">
        <v>392</v>
      </c>
      <c r="C909" s="60" t="s">
        <v>111</v>
      </c>
      <c r="D909" s="60">
        <v>0.12</v>
      </c>
      <c r="E909" s="60">
        <v>40.0</v>
      </c>
      <c r="F909" s="60">
        <v>4.8</v>
      </c>
      <c r="G909" s="118" t="s">
        <v>571</v>
      </c>
      <c r="H909" s="116"/>
      <c r="I909" s="116"/>
    </row>
    <row r="910">
      <c r="A910" s="117">
        <v>46022.94538767361</v>
      </c>
      <c r="B910" s="60" t="s">
        <v>397</v>
      </c>
      <c r="C910" s="60" t="s">
        <v>84</v>
      </c>
      <c r="D910" s="60">
        <v>1.0</v>
      </c>
      <c r="E910" s="60">
        <v>1.0</v>
      </c>
      <c r="F910" s="60">
        <v>1.0</v>
      </c>
      <c r="G910" s="118" t="s">
        <v>571</v>
      </c>
      <c r="H910" s="116"/>
      <c r="I910" s="116"/>
    </row>
    <row r="911">
      <c r="A911" s="117">
        <v>46022.94538767361</v>
      </c>
      <c r="B911" s="60" t="s">
        <v>397</v>
      </c>
      <c r="C911" s="60" t="s">
        <v>170</v>
      </c>
      <c r="D911" s="60">
        <v>0.0</v>
      </c>
      <c r="E911" s="60">
        <v>2.5</v>
      </c>
      <c r="F911" s="60">
        <v>0.0</v>
      </c>
      <c r="G911" s="118" t="s">
        <v>571</v>
      </c>
      <c r="H911" s="116"/>
      <c r="I911" s="116"/>
    </row>
    <row r="912">
      <c r="A912" s="117">
        <v>46022.94538767361</v>
      </c>
      <c r="B912" s="60" t="s">
        <v>397</v>
      </c>
      <c r="C912" s="60" t="s">
        <v>212</v>
      </c>
      <c r="D912" s="60">
        <v>0.33</v>
      </c>
      <c r="E912" s="60">
        <v>10.0</v>
      </c>
      <c r="F912" s="60">
        <v>3.3</v>
      </c>
      <c r="G912" s="118" t="s">
        <v>571</v>
      </c>
      <c r="H912" s="116"/>
      <c r="I912" s="116"/>
    </row>
    <row r="913">
      <c r="A913" s="117">
        <v>46022.94538767361</v>
      </c>
      <c r="B913" s="60" t="s">
        <v>397</v>
      </c>
      <c r="C913" s="60" t="s">
        <v>572</v>
      </c>
      <c r="D913" s="60">
        <v>1.0</v>
      </c>
      <c r="E913" s="60">
        <v>4.0</v>
      </c>
      <c r="F913" s="60">
        <v>4.0</v>
      </c>
      <c r="G913" s="118" t="s">
        <v>571</v>
      </c>
      <c r="H913" s="116"/>
      <c r="I913" s="116"/>
    </row>
    <row r="914">
      <c r="A914" s="117">
        <v>46022.94538767361</v>
      </c>
      <c r="B914" s="60" t="s">
        <v>397</v>
      </c>
      <c r="C914" s="60" t="s">
        <v>115</v>
      </c>
      <c r="D914" s="60">
        <v>0.03</v>
      </c>
      <c r="E914" s="60">
        <v>50.0</v>
      </c>
      <c r="F914" s="60">
        <v>1.5</v>
      </c>
      <c r="G914" s="118" t="s">
        <v>571</v>
      </c>
      <c r="H914" s="116"/>
      <c r="I914" s="116"/>
    </row>
    <row r="915">
      <c r="A915" s="117">
        <v>46022.94538767361</v>
      </c>
      <c r="B915" s="60" t="s">
        <v>395</v>
      </c>
      <c r="C915" s="60" t="s">
        <v>207</v>
      </c>
      <c r="D915" s="60">
        <v>0.07</v>
      </c>
      <c r="E915" s="60">
        <v>292.0</v>
      </c>
      <c r="F915" s="60">
        <v>20.44</v>
      </c>
      <c r="G915" s="118" t="s">
        <v>571</v>
      </c>
      <c r="H915" s="116"/>
      <c r="I915" s="116"/>
    </row>
    <row r="916">
      <c r="A916" s="117">
        <v>46022.94538767361</v>
      </c>
      <c r="B916" s="60" t="s">
        <v>395</v>
      </c>
      <c r="C916" s="60" t="s">
        <v>340</v>
      </c>
      <c r="D916" s="60">
        <v>0.02</v>
      </c>
      <c r="E916" s="60">
        <v>666.0</v>
      </c>
      <c r="F916" s="60">
        <v>13.32</v>
      </c>
      <c r="G916" s="118" t="s">
        <v>571</v>
      </c>
      <c r="H916" s="116"/>
      <c r="I916" s="116"/>
    </row>
    <row r="917">
      <c r="A917" s="117">
        <v>46022.94538767361</v>
      </c>
      <c r="B917" s="60" t="s">
        <v>395</v>
      </c>
      <c r="C917" s="60" t="s">
        <v>250</v>
      </c>
      <c r="D917" s="60">
        <v>0.0</v>
      </c>
      <c r="E917" s="60">
        <v>35.0</v>
      </c>
      <c r="F917" s="60">
        <v>0.0</v>
      </c>
      <c r="G917" s="118" t="s">
        <v>571</v>
      </c>
      <c r="H917" s="116"/>
      <c r="I917" s="116"/>
    </row>
    <row r="918">
      <c r="A918" s="117">
        <v>46022.94538767361</v>
      </c>
      <c r="B918" s="60" t="s">
        <v>395</v>
      </c>
      <c r="C918" s="60" t="s">
        <v>573</v>
      </c>
      <c r="D918" s="60">
        <v>1.0</v>
      </c>
      <c r="E918" s="60">
        <v>70.0</v>
      </c>
      <c r="F918" s="60">
        <v>2.38</v>
      </c>
      <c r="G918" s="118" t="s">
        <v>571</v>
      </c>
      <c r="H918" s="116"/>
      <c r="I918" s="116"/>
    </row>
    <row r="919">
      <c r="A919" s="117">
        <v>46022.94538767361</v>
      </c>
      <c r="B919" s="60" t="s">
        <v>395</v>
      </c>
      <c r="C919" s="60" t="s">
        <v>468</v>
      </c>
      <c r="D919" s="60">
        <v>0.27</v>
      </c>
      <c r="E919" s="60">
        <v>110.0</v>
      </c>
      <c r="F919" s="60">
        <v>29.7</v>
      </c>
      <c r="G919" s="118" t="s">
        <v>571</v>
      </c>
      <c r="H919" s="116"/>
      <c r="I919" s="116"/>
    </row>
    <row r="920">
      <c r="A920" s="117">
        <v>46022.94538767361</v>
      </c>
      <c r="B920" s="60" t="s">
        <v>395</v>
      </c>
      <c r="C920" s="60" t="s">
        <v>153</v>
      </c>
      <c r="D920" s="60">
        <v>13.3</v>
      </c>
      <c r="E920" s="60">
        <v>1.0</v>
      </c>
      <c r="F920" s="60">
        <v>13.3</v>
      </c>
      <c r="G920" s="118" t="s">
        <v>571</v>
      </c>
      <c r="H920" s="116"/>
      <c r="I920" s="116"/>
    </row>
    <row r="921">
      <c r="A921" s="117">
        <v>46021.94567002315</v>
      </c>
      <c r="B921" s="60" t="s">
        <v>392</v>
      </c>
      <c r="C921" s="60" t="s">
        <v>170</v>
      </c>
      <c r="D921" s="60">
        <v>0.0</v>
      </c>
      <c r="E921" s="60">
        <v>2.5</v>
      </c>
      <c r="F921" s="60">
        <v>0.0</v>
      </c>
      <c r="G921" s="118" t="s">
        <v>574</v>
      </c>
      <c r="H921" s="116"/>
      <c r="I921" s="116"/>
    </row>
    <row r="922">
      <c r="A922" s="117">
        <v>46021.94567002315</v>
      </c>
      <c r="B922" s="60" t="s">
        <v>392</v>
      </c>
      <c r="C922" s="60" t="s">
        <v>212</v>
      </c>
      <c r="D922" s="60">
        <v>0.33</v>
      </c>
      <c r="E922" s="60">
        <v>10.0</v>
      </c>
      <c r="F922" s="60">
        <v>3.3</v>
      </c>
      <c r="G922" s="118" t="s">
        <v>574</v>
      </c>
      <c r="H922" s="116"/>
      <c r="I922" s="116"/>
    </row>
    <row r="923">
      <c r="A923" s="117">
        <v>46021.94567002315</v>
      </c>
      <c r="B923" s="60" t="s">
        <v>392</v>
      </c>
      <c r="C923" s="60" t="s">
        <v>429</v>
      </c>
      <c r="D923" s="60">
        <v>10.0</v>
      </c>
      <c r="E923" s="60">
        <v>1.0</v>
      </c>
      <c r="F923" s="60">
        <v>10.0</v>
      </c>
      <c r="G923" s="118" t="s">
        <v>574</v>
      </c>
      <c r="H923" s="116"/>
      <c r="I923" s="116"/>
    </row>
    <row r="924">
      <c r="A924" s="117">
        <v>46021.94567002315</v>
      </c>
      <c r="B924" s="60" t="s">
        <v>392</v>
      </c>
      <c r="C924" s="60" t="s">
        <v>84</v>
      </c>
      <c r="D924" s="60">
        <v>1.0</v>
      </c>
      <c r="E924" s="60">
        <v>1.0</v>
      </c>
      <c r="F924" s="60">
        <v>1.0</v>
      </c>
      <c r="G924" s="118" t="s">
        <v>574</v>
      </c>
      <c r="H924" s="116"/>
      <c r="I924" s="116"/>
    </row>
    <row r="925">
      <c r="A925" s="117">
        <v>46021.94567002315</v>
      </c>
      <c r="B925" s="60" t="s">
        <v>392</v>
      </c>
      <c r="C925" s="60" t="s">
        <v>325</v>
      </c>
      <c r="D925" s="60">
        <v>0.05</v>
      </c>
      <c r="E925" s="60">
        <v>60.0</v>
      </c>
      <c r="F925" s="60">
        <v>3.0</v>
      </c>
      <c r="G925" s="118" t="s">
        <v>574</v>
      </c>
      <c r="H925" s="116"/>
      <c r="I925" s="116"/>
    </row>
    <row r="926">
      <c r="A926" s="117">
        <v>46021.94567002315</v>
      </c>
      <c r="B926" s="60" t="s">
        <v>397</v>
      </c>
      <c r="C926" s="60" t="s">
        <v>575</v>
      </c>
      <c r="D926" s="60">
        <v>0.2</v>
      </c>
      <c r="E926" s="60">
        <v>65.0</v>
      </c>
      <c r="F926" s="60">
        <v>13.0</v>
      </c>
      <c r="G926" s="118" t="s">
        <v>574</v>
      </c>
      <c r="H926" s="116"/>
      <c r="I926" s="116"/>
    </row>
    <row r="927">
      <c r="A927" s="117">
        <v>46021.94567002315</v>
      </c>
      <c r="B927" s="60" t="s">
        <v>397</v>
      </c>
      <c r="C927" s="60" t="s">
        <v>328</v>
      </c>
      <c r="D927" s="60">
        <v>0.07</v>
      </c>
      <c r="E927" s="60">
        <v>14.3</v>
      </c>
      <c r="F927" s="60">
        <v>1.0</v>
      </c>
      <c r="G927" s="118" t="s">
        <v>574</v>
      </c>
      <c r="H927" s="116"/>
      <c r="I927" s="116"/>
    </row>
    <row r="928">
      <c r="A928" s="117">
        <v>46021.94567002315</v>
      </c>
      <c r="B928" s="60" t="s">
        <v>397</v>
      </c>
      <c r="C928" s="60" t="s">
        <v>575</v>
      </c>
      <c r="D928" s="60">
        <v>0.2</v>
      </c>
      <c r="E928" s="60">
        <v>20.0</v>
      </c>
      <c r="F928" s="60">
        <v>4.0</v>
      </c>
      <c r="G928" s="118" t="s">
        <v>574</v>
      </c>
      <c r="H928" s="116"/>
      <c r="I928" s="116"/>
    </row>
    <row r="929">
      <c r="A929" s="117">
        <v>46021.94567002315</v>
      </c>
      <c r="B929" s="60" t="s">
        <v>395</v>
      </c>
      <c r="C929" s="60" t="s">
        <v>478</v>
      </c>
      <c r="D929" s="60">
        <v>13.0</v>
      </c>
      <c r="E929" s="60">
        <v>1.0</v>
      </c>
      <c r="F929" s="60">
        <v>13.0</v>
      </c>
      <c r="G929" s="118" t="s">
        <v>574</v>
      </c>
      <c r="H929" s="116"/>
      <c r="I929" s="116"/>
    </row>
    <row r="930">
      <c r="A930" s="117">
        <v>46021.94567002315</v>
      </c>
      <c r="B930" s="60" t="s">
        <v>395</v>
      </c>
      <c r="C930" s="60" t="s">
        <v>439</v>
      </c>
      <c r="D930" s="60">
        <v>0.31</v>
      </c>
      <c r="E930" s="60">
        <v>60.0</v>
      </c>
      <c r="F930" s="60">
        <v>18.6</v>
      </c>
      <c r="G930" s="118" t="s">
        <v>574</v>
      </c>
      <c r="H930" s="116"/>
      <c r="I930" s="116"/>
    </row>
    <row r="931">
      <c r="A931" s="117">
        <v>46021.94567002315</v>
      </c>
      <c r="B931" s="60" t="s">
        <v>395</v>
      </c>
      <c r="C931" s="60" t="s">
        <v>443</v>
      </c>
      <c r="D931" s="60">
        <v>0.15</v>
      </c>
      <c r="E931" s="60">
        <v>5.0</v>
      </c>
      <c r="F931" s="60">
        <v>0.75</v>
      </c>
      <c r="G931" s="118" t="s">
        <v>574</v>
      </c>
      <c r="H931" s="116"/>
      <c r="I931" s="116"/>
    </row>
    <row r="932">
      <c r="A932" s="117">
        <v>46021.94567002315</v>
      </c>
      <c r="B932" s="60" t="s">
        <v>395</v>
      </c>
      <c r="C932" s="60" t="s">
        <v>328</v>
      </c>
      <c r="D932" s="60">
        <v>0.07</v>
      </c>
      <c r="E932" s="60">
        <v>14.3</v>
      </c>
      <c r="F932" s="60">
        <v>1.0</v>
      </c>
      <c r="G932" s="118" t="s">
        <v>574</v>
      </c>
      <c r="H932" s="116"/>
      <c r="I932" s="116"/>
    </row>
    <row r="933">
      <c r="A933" s="117">
        <v>46021.94567002315</v>
      </c>
      <c r="B933" s="60" t="s">
        <v>395</v>
      </c>
      <c r="C933" s="60" t="s">
        <v>294</v>
      </c>
      <c r="D933" s="60">
        <v>0.05</v>
      </c>
      <c r="E933" s="60">
        <v>40.0</v>
      </c>
      <c r="F933" s="60">
        <v>2.0</v>
      </c>
      <c r="G933" s="118" t="s">
        <v>574</v>
      </c>
      <c r="H933" s="116"/>
      <c r="I933" s="116"/>
    </row>
    <row r="934">
      <c r="A934" s="117">
        <v>46020.94542513889</v>
      </c>
      <c r="B934" s="60" t="s">
        <v>392</v>
      </c>
      <c r="C934" s="60" t="s">
        <v>96</v>
      </c>
      <c r="D934" s="60">
        <v>0.0</v>
      </c>
      <c r="E934" s="60">
        <v>5.0</v>
      </c>
      <c r="F934" s="60">
        <v>0.0</v>
      </c>
      <c r="G934" s="118" t="s">
        <v>576</v>
      </c>
      <c r="H934" s="116"/>
      <c r="I934" s="116"/>
    </row>
    <row r="935">
      <c r="A935" s="117">
        <v>46020.94542513889</v>
      </c>
      <c r="B935" s="60" t="s">
        <v>392</v>
      </c>
      <c r="C935" s="60" t="s">
        <v>170</v>
      </c>
      <c r="D935" s="60">
        <v>0.0</v>
      </c>
      <c r="E935" s="60">
        <v>60.0</v>
      </c>
      <c r="F935" s="60">
        <v>0.0</v>
      </c>
      <c r="G935" s="118" t="s">
        <v>576</v>
      </c>
      <c r="H935" s="116"/>
      <c r="I935" s="116"/>
    </row>
    <row r="936">
      <c r="A936" s="117">
        <v>46020.94542513889</v>
      </c>
      <c r="B936" s="60" t="s">
        <v>392</v>
      </c>
      <c r="C936" s="60" t="s">
        <v>172</v>
      </c>
      <c r="D936" s="60">
        <v>0.0</v>
      </c>
      <c r="E936" s="60">
        <v>339.0</v>
      </c>
      <c r="F936" s="60">
        <v>0.0</v>
      </c>
      <c r="G936" s="118" t="s">
        <v>576</v>
      </c>
      <c r="H936" s="116"/>
      <c r="I936" s="116"/>
    </row>
    <row r="937">
      <c r="A937" s="117">
        <v>46020.94542513889</v>
      </c>
      <c r="B937" s="60" t="s">
        <v>392</v>
      </c>
      <c r="C937" s="60" t="s">
        <v>86</v>
      </c>
      <c r="D937" s="60">
        <v>0.13</v>
      </c>
      <c r="E937" s="60">
        <v>201.0</v>
      </c>
      <c r="F937" s="60">
        <v>26.13</v>
      </c>
      <c r="G937" s="118" t="s">
        <v>576</v>
      </c>
      <c r="H937" s="116"/>
      <c r="I937" s="116"/>
    </row>
    <row r="938">
      <c r="A938" s="117">
        <v>46020.94542513889</v>
      </c>
      <c r="B938" s="60" t="s">
        <v>392</v>
      </c>
      <c r="C938" s="60" t="s">
        <v>577</v>
      </c>
      <c r="D938" s="60">
        <v>0.02</v>
      </c>
      <c r="E938" s="60">
        <v>50.0</v>
      </c>
      <c r="F938" s="60">
        <v>1.0</v>
      </c>
      <c r="G938" s="118" t="s">
        <v>576</v>
      </c>
      <c r="H938" s="116"/>
      <c r="I938" s="116"/>
    </row>
    <row r="939">
      <c r="A939" s="117">
        <v>46020.94542513889</v>
      </c>
      <c r="B939" s="60" t="s">
        <v>392</v>
      </c>
      <c r="C939" s="60" t="s">
        <v>125</v>
      </c>
      <c r="D939" s="60">
        <v>0.08</v>
      </c>
      <c r="E939" s="60">
        <v>60.0</v>
      </c>
      <c r="F939" s="60">
        <v>4.8</v>
      </c>
      <c r="G939" s="118" t="s">
        <v>576</v>
      </c>
      <c r="H939" s="116"/>
      <c r="I939" s="116"/>
    </row>
    <row r="940">
      <c r="A940" s="117">
        <v>46020.94542513889</v>
      </c>
      <c r="B940" s="60" t="s">
        <v>397</v>
      </c>
      <c r="C940" s="60" t="s">
        <v>578</v>
      </c>
      <c r="D940" s="60">
        <v>1.0</v>
      </c>
      <c r="E940" s="60">
        <v>2.0</v>
      </c>
      <c r="F940" s="60">
        <v>2.0</v>
      </c>
      <c r="G940" s="118" t="s">
        <v>576</v>
      </c>
      <c r="H940" s="116"/>
      <c r="I940" s="116"/>
    </row>
    <row r="941">
      <c r="A941" s="117">
        <v>46020.94542513889</v>
      </c>
      <c r="B941" s="60" t="s">
        <v>397</v>
      </c>
      <c r="C941" s="60" t="s">
        <v>439</v>
      </c>
      <c r="D941" s="60">
        <v>0.31</v>
      </c>
      <c r="E941" s="60">
        <v>60.0</v>
      </c>
      <c r="F941" s="60">
        <v>18.6</v>
      </c>
      <c r="G941" s="118" t="s">
        <v>576</v>
      </c>
      <c r="H941" s="116"/>
      <c r="I941" s="116"/>
    </row>
    <row r="942">
      <c r="A942" s="117">
        <v>46020.94542513889</v>
      </c>
      <c r="B942" s="60" t="s">
        <v>397</v>
      </c>
      <c r="C942" s="60" t="s">
        <v>430</v>
      </c>
      <c r="D942" s="60">
        <v>2.5</v>
      </c>
      <c r="E942" s="60">
        <v>1.0</v>
      </c>
      <c r="F942" s="60">
        <v>2.5</v>
      </c>
      <c r="G942" s="118" t="s">
        <v>576</v>
      </c>
      <c r="H942" s="116"/>
      <c r="I942" s="116"/>
    </row>
    <row r="943">
      <c r="A943" s="117">
        <v>46020.94542513889</v>
      </c>
      <c r="B943" s="60" t="s">
        <v>397</v>
      </c>
      <c r="C943" s="60" t="s">
        <v>328</v>
      </c>
      <c r="D943" s="60">
        <v>0.07</v>
      </c>
      <c r="E943" s="60">
        <v>21.0</v>
      </c>
      <c r="F943" s="60">
        <v>1.47</v>
      </c>
      <c r="G943" s="118" t="s">
        <v>576</v>
      </c>
      <c r="H943" s="116"/>
      <c r="I943" s="116"/>
    </row>
    <row r="944">
      <c r="A944" s="117">
        <v>46020.94542513889</v>
      </c>
      <c r="B944" s="60" t="s">
        <v>395</v>
      </c>
      <c r="C944" s="60" t="s">
        <v>579</v>
      </c>
      <c r="D944" s="60">
        <v>1.0</v>
      </c>
      <c r="E944" s="60">
        <v>4.5</v>
      </c>
      <c r="F944" s="60">
        <v>4.5</v>
      </c>
      <c r="G944" s="118" t="s">
        <v>576</v>
      </c>
      <c r="H944" s="116"/>
      <c r="I944" s="116"/>
    </row>
    <row r="945">
      <c r="A945" s="117">
        <v>46020.94542513889</v>
      </c>
      <c r="B945" s="60" t="s">
        <v>395</v>
      </c>
      <c r="C945" s="60" t="s">
        <v>575</v>
      </c>
      <c r="D945" s="60">
        <v>0.2</v>
      </c>
      <c r="E945" s="60">
        <v>65.0</v>
      </c>
      <c r="F945" s="60">
        <v>13.0</v>
      </c>
      <c r="G945" s="118" t="s">
        <v>576</v>
      </c>
      <c r="H945" s="116"/>
      <c r="I945" s="116"/>
    </row>
    <row r="946">
      <c r="A946" s="117">
        <v>46020.94542513889</v>
      </c>
      <c r="B946" s="60" t="s">
        <v>395</v>
      </c>
      <c r="C946" s="60" t="s">
        <v>438</v>
      </c>
      <c r="D946" s="60">
        <v>0.0</v>
      </c>
      <c r="E946" s="60">
        <v>60.0</v>
      </c>
      <c r="F946" s="60">
        <v>0.0</v>
      </c>
      <c r="G946" s="118" t="s">
        <v>576</v>
      </c>
      <c r="H946" s="116"/>
      <c r="I946" s="116"/>
    </row>
    <row r="947">
      <c r="A947" s="117">
        <v>46020.94542513889</v>
      </c>
      <c r="B947" s="60" t="s">
        <v>395</v>
      </c>
      <c r="C947" s="60" t="s">
        <v>98</v>
      </c>
      <c r="D947" s="60">
        <v>0.21</v>
      </c>
      <c r="E947" s="60">
        <v>50.0</v>
      </c>
      <c r="F947" s="60">
        <v>10.5</v>
      </c>
      <c r="G947" s="118" t="s">
        <v>576</v>
      </c>
      <c r="H947" s="116"/>
      <c r="I947" s="116"/>
    </row>
    <row r="948">
      <c r="A948" s="117">
        <v>46020.94542513889</v>
      </c>
      <c r="B948" s="60" t="s">
        <v>395</v>
      </c>
      <c r="C948" s="60" t="s">
        <v>205</v>
      </c>
      <c r="D948" s="60">
        <v>0.08</v>
      </c>
      <c r="E948" s="60">
        <v>40.0</v>
      </c>
      <c r="F948" s="60">
        <v>3.2</v>
      </c>
      <c r="G948" s="118" t="s">
        <v>576</v>
      </c>
      <c r="H948" s="116"/>
      <c r="I948" s="116"/>
    </row>
    <row r="949">
      <c r="A949" s="117">
        <v>46020.94542513889</v>
      </c>
      <c r="B949" s="60" t="s">
        <v>395</v>
      </c>
      <c r="C949" s="60" t="s">
        <v>328</v>
      </c>
      <c r="D949" s="60">
        <v>0.07</v>
      </c>
      <c r="E949" s="60">
        <v>20.0</v>
      </c>
      <c r="F949" s="60">
        <v>1.4</v>
      </c>
      <c r="G949" s="118" t="s">
        <v>576</v>
      </c>
      <c r="H949" s="116"/>
      <c r="I949" s="116"/>
    </row>
    <row r="950">
      <c r="A950" s="117">
        <v>46019.945442384254</v>
      </c>
      <c r="B950" s="60" t="s">
        <v>392</v>
      </c>
      <c r="C950" s="60" t="s">
        <v>170</v>
      </c>
      <c r="D950" s="60">
        <v>0.0</v>
      </c>
      <c r="E950" s="60">
        <v>2.5</v>
      </c>
      <c r="F950" s="60">
        <v>0.0</v>
      </c>
      <c r="G950" s="118" t="s">
        <v>580</v>
      </c>
      <c r="H950" s="116"/>
      <c r="I950" s="116"/>
    </row>
    <row r="951">
      <c r="A951" s="117">
        <v>46019.945442384254</v>
      </c>
      <c r="B951" s="60" t="s">
        <v>392</v>
      </c>
      <c r="C951" s="60" t="s">
        <v>212</v>
      </c>
      <c r="D951" s="60">
        <v>0.33</v>
      </c>
      <c r="E951" s="60">
        <v>10.0</v>
      </c>
      <c r="F951" s="60">
        <v>3.3</v>
      </c>
      <c r="G951" s="118" t="s">
        <v>580</v>
      </c>
      <c r="H951" s="116"/>
      <c r="I951" s="116"/>
    </row>
    <row r="952">
      <c r="A952" s="117">
        <v>46019.945442384254</v>
      </c>
      <c r="B952" s="60" t="s">
        <v>392</v>
      </c>
      <c r="C952" s="60" t="s">
        <v>429</v>
      </c>
      <c r="D952" s="60">
        <v>10.0</v>
      </c>
      <c r="E952" s="60">
        <v>1.0</v>
      </c>
      <c r="F952" s="60">
        <v>10.0</v>
      </c>
      <c r="G952" s="118" t="s">
        <v>580</v>
      </c>
      <c r="H952" s="116"/>
      <c r="I952" s="116"/>
    </row>
    <row r="953">
      <c r="A953" s="117">
        <v>46019.945442384254</v>
      </c>
      <c r="B953" s="60" t="s">
        <v>392</v>
      </c>
      <c r="C953" s="60" t="s">
        <v>84</v>
      </c>
      <c r="D953" s="60">
        <v>1.0</v>
      </c>
      <c r="E953" s="60">
        <v>1.0</v>
      </c>
      <c r="F953" s="60">
        <v>1.0</v>
      </c>
      <c r="G953" s="118" t="s">
        <v>580</v>
      </c>
      <c r="H953" s="116"/>
      <c r="I953" s="116"/>
    </row>
    <row r="954">
      <c r="A954" s="117">
        <v>46019.945442384254</v>
      </c>
      <c r="B954" s="60" t="s">
        <v>392</v>
      </c>
      <c r="C954" s="60" t="s">
        <v>325</v>
      </c>
      <c r="D954" s="60">
        <v>0.05</v>
      </c>
      <c r="E954" s="60">
        <v>50.0</v>
      </c>
      <c r="F954" s="60">
        <v>2.5</v>
      </c>
      <c r="G954" s="118" t="s">
        <v>580</v>
      </c>
      <c r="H954" s="116"/>
      <c r="I954" s="116"/>
    </row>
    <row r="955">
      <c r="A955" s="117">
        <v>46019.945442384254</v>
      </c>
      <c r="B955" s="60" t="s">
        <v>397</v>
      </c>
      <c r="C955" s="60" t="s">
        <v>429</v>
      </c>
      <c r="D955" s="60">
        <v>10.0</v>
      </c>
      <c r="E955" s="60">
        <v>1.0</v>
      </c>
      <c r="F955" s="60">
        <v>10.0</v>
      </c>
      <c r="G955" s="118" t="s">
        <v>580</v>
      </c>
      <c r="H955" s="116"/>
      <c r="I955" s="116"/>
    </row>
    <row r="956">
      <c r="A956" s="117">
        <v>46019.945442384254</v>
      </c>
      <c r="B956" s="60" t="s">
        <v>397</v>
      </c>
      <c r="C956" s="60" t="s">
        <v>233</v>
      </c>
      <c r="D956" s="60">
        <v>0.13</v>
      </c>
      <c r="E956" s="60">
        <v>7.7</v>
      </c>
      <c r="F956" s="60">
        <v>1.0</v>
      </c>
      <c r="G956" s="118" t="s">
        <v>580</v>
      </c>
      <c r="H956" s="116"/>
      <c r="I956" s="116"/>
    </row>
    <row r="957">
      <c r="A957" s="117">
        <v>46019.945442384254</v>
      </c>
      <c r="B957" s="60" t="s">
        <v>397</v>
      </c>
      <c r="C957" s="60" t="s">
        <v>424</v>
      </c>
      <c r="D957" s="60">
        <v>0.27</v>
      </c>
      <c r="E957" s="60">
        <v>7.4</v>
      </c>
      <c r="F957" s="60">
        <v>2.0</v>
      </c>
      <c r="G957" s="118" t="s">
        <v>580</v>
      </c>
      <c r="H957" s="116"/>
      <c r="I957" s="116"/>
    </row>
    <row r="958">
      <c r="A958" s="117">
        <v>46019.945442384254</v>
      </c>
      <c r="B958" s="60" t="s">
        <v>397</v>
      </c>
      <c r="C958" s="60" t="s">
        <v>470</v>
      </c>
      <c r="D958" s="60">
        <v>7.0</v>
      </c>
      <c r="E958" s="60">
        <v>1.0</v>
      </c>
      <c r="F958" s="60">
        <v>7.0</v>
      </c>
      <c r="G958" s="118" t="s">
        <v>580</v>
      </c>
      <c r="H958" s="116"/>
      <c r="I958" s="116"/>
    </row>
    <row r="959">
      <c r="A959" s="117">
        <v>46019.945442384254</v>
      </c>
      <c r="B959" s="60" t="s">
        <v>397</v>
      </c>
      <c r="C959" s="60" t="s">
        <v>229</v>
      </c>
      <c r="D959" s="60">
        <v>11.0</v>
      </c>
      <c r="E959" s="60">
        <v>1.0</v>
      </c>
      <c r="F959" s="60">
        <v>11.0</v>
      </c>
      <c r="G959" s="118" t="s">
        <v>580</v>
      </c>
      <c r="H959" s="116"/>
      <c r="I959" s="116"/>
    </row>
    <row r="960">
      <c r="A960" s="117">
        <v>46019.945442384254</v>
      </c>
      <c r="B960" s="60" t="s">
        <v>395</v>
      </c>
      <c r="C960" s="60" t="s">
        <v>87</v>
      </c>
      <c r="D960" s="60">
        <v>0.27</v>
      </c>
      <c r="E960" s="60">
        <v>67.0</v>
      </c>
      <c r="F960" s="60">
        <v>18.09</v>
      </c>
      <c r="G960" s="118" t="s">
        <v>580</v>
      </c>
      <c r="H960" s="116"/>
      <c r="I960" s="116"/>
    </row>
    <row r="961">
      <c r="A961" s="117">
        <v>46019.945442384254</v>
      </c>
      <c r="B961" s="60" t="s">
        <v>395</v>
      </c>
      <c r="C961" s="60" t="s">
        <v>125</v>
      </c>
      <c r="D961" s="60">
        <v>0.08</v>
      </c>
      <c r="E961" s="60">
        <v>68.0</v>
      </c>
      <c r="F961" s="60">
        <v>5.44</v>
      </c>
      <c r="G961" s="118" t="s">
        <v>580</v>
      </c>
      <c r="H961" s="116"/>
      <c r="I961" s="116"/>
    </row>
    <row r="962">
      <c r="A962" s="117">
        <v>46019.945442384254</v>
      </c>
      <c r="B962" s="60" t="s">
        <v>395</v>
      </c>
      <c r="C962" s="60" t="s">
        <v>326</v>
      </c>
      <c r="D962" s="60">
        <v>0.1</v>
      </c>
      <c r="E962" s="60">
        <v>12.0</v>
      </c>
      <c r="F962" s="60">
        <v>1.2</v>
      </c>
      <c r="G962" s="118" t="s">
        <v>580</v>
      </c>
      <c r="H962" s="116"/>
      <c r="I962" s="116"/>
    </row>
    <row r="963">
      <c r="A963" s="117">
        <v>46019.945442384254</v>
      </c>
      <c r="B963" s="60" t="s">
        <v>395</v>
      </c>
      <c r="C963" s="60" t="s">
        <v>104</v>
      </c>
      <c r="D963" s="60">
        <v>0.05</v>
      </c>
      <c r="E963" s="60">
        <v>25.0</v>
      </c>
      <c r="F963" s="60">
        <v>1.25</v>
      </c>
      <c r="G963" s="118" t="s">
        <v>580</v>
      </c>
      <c r="H963" s="116"/>
      <c r="I963" s="116"/>
    </row>
    <row r="964">
      <c r="A964" s="117">
        <v>46018.945317210644</v>
      </c>
      <c r="B964" s="60" t="s">
        <v>397</v>
      </c>
      <c r="C964" s="60" t="s">
        <v>87</v>
      </c>
      <c r="D964" s="60">
        <v>0.27</v>
      </c>
      <c r="E964" s="60">
        <v>100.0</v>
      </c>
      <c r="F964" s="60">
        <v>27.0</v>
      </c>
      <c r="G964" s="118" t="s">
        <v>581</v>
      </c>
      <c r="H964" s="116"/>
      <c r="I964" s="116"/>
    </row>
    <row r="965">
      <c r="A965" s="117">
        <v>46018.945317210644</v>
      </c>
      <c r="B965" s="60" t="s">
        <v>397</v>
      </c>
      <c r="C965" s="60" t="s">
        <v>508</v>
      </c>
      <c r="D965" s="60">
        <v>2.0</v>
      </c>
      <c r="E965" s="60">
        <v>1.0</v>
      </c>
      <c r="F965" s="60">
        <v>2.0</v>
      </c>
      <c r="G965" s="118" t="s">
        <v>581</v>
      </c>
      <c r="H965" s="116"/>
      <c r="I965" s="116"/>
    </row>
    <row r="966">
      <c r="A966" s="117">
        <v>46018.945317210644</v>
      </c>
      <c r="B966" s="60" t="s">
        <v>397</v>
      </c>
      <c r="C966" s="60" t="s">
        <v>326</v>
      </c>
      <c r="D966" s="60">
        <v>0.1</v>
      </c>
      <c r="E966" s="60">
        <v>10.0</v>
      </c>
      <c r="F966" s="60">
        <v>1.0</v>
      </c>
      <c r="G966" s="118" t="s">
        <v>581</v>
      </c>
      <c r="H966" s="116"/>
      <c r="I966" s="116"/>
    </row>
    <row r="967">
      <c r="A967" s="117">
        <v>46018.945317210644</v>
      </c>
      <c r="B967" s="60" t="s">
        <v>397</v>
      </c>
      <c r="C967" s="60" t="s">
        <v>558</v>
      </c>
      <c r="D967" s="60">
        <v>0.12</v>
      </c>
      <c r="E967" s="60">
        <v>21.0</v>
      </c>
      <c r="F967" s="60">
        <v>2.52</v>
      </c>
      <c r="G967" s="118" t="s">
        <v>581</v>
      </c>
      <c r="H967" s="116"/>
      <c r="I967" s="116"/>
    </row>
    <row r="968">
      <c r="A968" s="117">
        <v>46018.945317210644</v>
      </c>
      <c r="B968" s="60" t="s">
        <v>395</v>
      </c>
      <c r="C968" s="60" t="s">
        <v>189</v>
      </c>
      <c r="D968" s="60">
        <v>0.14</v>
      </c>
      <c r="E968" s="60">
        <v>70.0</v>
      </c>
      <c r="F968" s="60">
        <v>9.8</v>
      </c>
      <c r="G968" s="118" t="s">
        <v>581</v>
      </c>
      <c r="H968" s="116"/>
      <c r="I968" s="116"/>
    </row>
    <row r="969">
      <c r="A969" s="117">
        <v>46018.945317210644</v>
      </c>
      <c r="B969" s="60" t="s">
        <v>395</v>
      </c>
      <c r="C969" s="60" t="s">
        <v>439</v>
      </c>
      <c r="D969" s="60">
        <v>0.31</v>
      </c>
      <c r="E969" s="60">
        <v>65.0</v>
      </c>
      <c r="F969" s="60">
        <v>20.15</v>
      </c>
      <c r="G969" s="118" t="s">
        <v>581</v>
      </c>
      <c r="H969" s="116"/>
      <c r="I969" s="116"/>
    </row>
    <row r="970">
      <c r="A970" s="117">
        <v>46018.945317210644</v>
      </c>
      <c r="B970" s="60" t="s">
        <v>395</v>
      </c>
      <c r="C970" s="60" t="s">
        <v>205</v>
      </c>
      <c r="D970" s="60">
        <v>0.08</v>
      </c>
      <c r="E970" s="60">
        <v>40.0</v>
      </c>
      <c r="F970" s="60">
        <v>3.2</v>
      </c>
      <c r="G970" s="118" t="s">
        <v>581</v>
      </c>
      <c r="H970" s="116"/>
      <c r="I970" s="116"/>
    </row>
    <row r="971">
      <c r="A971" s="117">
        <v>46018.945317210644</v>
      </c>
      <c r="B971" s="60" t="s">
        <v>395</v>
      </c>
      <c r="C971" s="60" t="s">
        <v>443</v>
      </c>
      <c r="D971" s="60">
        <v>0.15</v>
      </c>
      <c r="E971" s="60">
        <v>5.0</v>
      </c>
      <c r="F971" s="60">
        <v>0.75</v>
      </c>
      <c r="G971" s="118" t="s">
        <v>581</v>
      </c>
      <c r="H971" s="116"/>
      <c r="I971" s="116"/>
    </row>
    <row r="972">
      <c r="A972" s="117">
        <v>46018.945317210644</v>
      </c>
      <c r="B972" s="60" t="s">
        <v>395</v>
      </c>
      <c r="C972" s="60" t="s">
        <v>582</v>
      </c>
      <c r="D972" s="60">
        <v>0.1</v>
      </c>
      <c r="E972" s="60">
        <v>72.0</v>
      </c>
      <c r="F972" s="60">
        <v>7.2</v>
      </c>
      <c r="G972" s="118" t="s">
        <v>581</v>
      </c>
      <c r="H972" s="116"/>
      <c r="I972" s="116"/>
    </row>
    <row r="973">
      <c r="A973" s="117">
        <v>46018.945317210644</v>
      </c>
      <c r="B973" s="60" t="s">
        <v>395</v>
      </c>
      <c r="C973" s="60" t="s">
        <v>328</v>
      </c>
      <c r="D973" s="60">
        <v>0.07</v>
      </c>
      <c r="E973" s="60">
        <v>14.3</v>
      </c>
      <c r="F973" s="60">
        <v>1.0</v>
      </c>
      <c r="G973" s="118" t="s">
        <v>581</v>
      </c>
      <c r="H973" s="116"/>
      <c r="I973" s="116"/>
    </row>
    <row r="974">
      <c r="A974" s="117">
        <v>46017.945572233795</v>
      </c>
      <c r="B974" s="60" t="s">
        <v>392</v>
      </c>
      <c r="C974" s="60" t="s">
        <v>170</v>
      </c>
      <c r="D974" s="60">
        <v>0.0</v>
      </c>
      <c r="E974" s="60">
        <v>60.0</v>
      </c>
      <c r="F974" s="60">
        <v>3.0</v>
      </c>
      <c r="G974" s="118" t="s">
        <v>583</v>
      </c>
      <c r="H974" s="116"/>
      <c r="I974" s="116"/>
    </row>
    <row r="975">
      <c r="A975" s="117">
        <v>46017.945572233795</v>
      </c>
      <c r="B975" s="60" t="s">
        <v>392</v>
      </c>
      <c r="C975" s="60" t="s">
        <v>426</v>
      </c>
      <c r="D975" s="60">
        <v>1.0</v>
      </c>
      <c r="E975" s="60">
        <v>29.2</v>
      </c>
      <c r="F975" s="60">
        <v>29.2</v>
      </c>
      <c r="G975" s="118" t="s">
        <v>583</v>
      </c>
      <c r="H975" s="116"/>
      <c r="I975" s="116"/>
    </row>
    <row r="976">
      <c r="A976" s="117">
        <v>46017.945572233795</v>
      </c>
      <c r="B976" s="60" t="s">
        <v>397</v>
      </c>
      <c r="C976" s="60" t="s">
        <v>584</v>
      </c>
      <c r="D976" s="60">
        <v>0.09</v>
      </c>
      <c r="E976" s="60">
        <v>25.0</v>
      </c>
      <c r="F976" s="60">
        <v>2.25</v>
      </c>
      <c r="G976" s="118" t="s">
        <v>583</v>
      </c>
      <c r="H976" s="116"/>
      <c r="I976" s="116"/>
    </row>
    <row r="977">
      <c r="A977" s="117">
        <v>46017.945572233795</v>
      </c>
      <c r="B977" s="60" t="s">
        <v>397</v>
      </c>
      <c r="C977" s="60" t="s">
        <v>104</v>
      </c>
      <c r="D977" s="60">
        <v>0.05</v>
      </c>
      <c r="E977" s="60">
        <v>24.0</v>
      </c>
      <c r="F977" s="60">
        <v>1.2</v>
      </c>
      <c r="G977" s="118" t="s">
        <v>583</v>
      </c>
      <c r="H977" s="116"/>
      <c r="I977" s="116"/>
    </row>
    <row r="978">
      <c r="A978" s="117">
        <v>46017.945572233795</v>
      </c>
      <c r="B978" s="60" t="s">
        <v>397</v>
      </c>
      <c r="C978" s="60" t="s">
        <v>444</v>
      </c>
      <c r="D978" s="60">
        <v>0.07</v>
      </c>
      <c r="E978" s="60">
        <v>27.0</v>
      </c>
      <c r="F978" s="60">
        <v>1.89</v>
      </c>
      <c r="G978" s="118" t="s">
        <v>583</v>
      </c>
      <c r="H978" s="116"/>
      <c r="I978" s="116"/>
    </row>
    <row r="979">
      <c r="A979" s="117">
        <v>46017.945572233795</v>
      </c>
      <c r="B979" s="60" t="s">
        <v>397</v>
      </c>
      <c r="C979" s="60" t="s">
        <v>115</v>
      </c>
      <c r="D979" s="60">
        <v>0.03</v>
      </c>
      <c r="E979" s="60">
        <v>50.0</v>
      </c>
      <c r="F979" s="60">
        <v>1.5</v>
      </c>
      <c r="G979" s="118" t="s">
        <v>583</v>
      </c>
      <c r="H979" s="116"/>
      <c r="I979" s="116"/>
    </row>
    <row r="980">
      <c r="A980" s="117">
        <v>46017.945572233795</v>
      </c>
      <c r="B980" s="60" t="s">
        <v>397</v>
      </c>
      <c r="C980" s="60" t="s">
        <v>193</v>
      </c>
      <c r="D980" s="60">
        <v>12.0</v>
      </c>
      <c r="E980" s="60">
        <v>1.0</v>
      </c>
      <c r="F980" s="60">
        <v>12.0</v>
      </c>
      <c r="G980" s="118" t="s">
        <v>583</v>
      </c>
      <c r="H980" s="116"/>
      <c r="I980" s="116"/>
    </row>
    <row r="981">
      <c r="A981" s="117">
        <v>46017.945572233795</v>
      </c>
      <c r="B981" s="60" t="s">
        <v>397</v>
      </c>
      <c r="C981" s="60" t="s">
        <v>455</v>
      </c>
      <c r="D981" s="60">
        <v>0.56</v>
      </c>
      <c r="E981" s="60">
        <v>15.7</v>
      </c>
      <c r="F981" s="60">
        <v>8.8</v>
      </c>
      <c r="G981" s="118" t="s">
        <v>583</v>
      </c>
      <c r="H981" s="116"/>
      <c r="I981" s="116"/>
    </row>
    <row r="982">
      <c r="A982" s="117">
        <v>46017.945572233795</v>
      </c>
      <c r="B982" s="60" t="s">
        <v>398</v>
      </c>
      <c r="C982" s="60" t="s">
        <v>89</v>
      </c>
      <c r="D982" s="60">
        <v>0.13</v>
      </c>
      <c r="E982" s="60">
        <v>50.0</v>
      </c>
      <c r="F982" s="60">
        <v>6.5</v>
      </c>
      <c r="G982" s="118" t="s">
        <v>583</v>
      </c>
      <c r="H982" s="116"/>
      <c r="I982" s="116"/>
    </row>
    <row r="983">
      <c r="A983" s="117">
        <v>46017.945572233795</v>
      </c>
      <c r="B983" s="60" t="s">
        <v>398</v>
      </c>
      <c r="C983" s="60" t="s">
        <v>233</v>
      </c>
      <c r="D983" s="60">
        <v>0.13</v>
      </c>
      <c r="E983" s="60">
        <v>18.0</v>
      </c>
      <c r="F983" s="60">
        <v>2.34</v>
      </c>
      <c r="G983" s="118" t="s">
        <v>583</v>
      </c>
      <c r="H983" s="116"/>
      <c r="I983" s="116"/>
    </row>
    <row r="984">
      <c r="A984" s="117">
        <v>46017.945572233795</v>
      </c>
      <c r="B984" s="60" t="s">
        <v>398</v>
      </c>
      <c r="C984" s="60" t="s">
        <v>504</v>
      </c>
      <c r="D984" s="60">
        <v>5.0</v>
      </c>
      <c r="E984" s="60">
        <v>1.0</v>
      </c>
      <c r="F984" s="60">
        <v>5.0</v>
      </c>
      <c r="G984" s="118" t="s">
        <v>583</v>
      </c>
      <c r="H984" s="116"/>
      <c r="I984" s="116"/>
    </row>
    <row r="985">
      <c r="A985" s="117">
        <v>46017.945572233795</v>
      </c>
      <c r="B985" s="60" t="s">
        <v>395</v>
      </c>
      <c r="C985" s="60" t="s">
        <v>87</v>
      </c>
      <c r="D985" s="60">
        <v>0.27</v>
      </c>
      <c r="E985" s="60">
        <v>100.0</v>
      </c>
      <c r="F985" s="60">
        <v>27.0</v>
      </c>
      <c r="G985" s="118" t="s">
        <v>583</v>
      </c>
      <c r="H985" s="116"/>
      <c r="I985" s="116"/>
    </row>
    <row r="986">
      <c r="A986" s="117">
        <v>46017.945572233795</v>
      </c>
      <c r="B986" s="60" t="s">
        <v>395</v>
      </c>
      <c r="C986" s="60" t="s">
        <v>328</v>
      </c>
      <c r="D986" s="60">
        <v>0.07</v>
      </c>
      <c r="E986" s="60">
        <v>14.29</v>
      </c>
      <c r="F986" s="60">
        <v>1.0</v>
      </c>
      <c r="G986" s="118" t="s">
        <v>583</v>
      </c>
      <c r="H986" s="116"/>
      <c r="I986" s="116"/>
    </row>
    <row r="987">
      <c r="A987" s="117">
        <v>46017.945572233795</v>
      </c>
      <c r="B987" s="60" t="s">
        <v>395</v>
      </c>
      <c r="C987" s="60" t="s">
        <v>508</v>
      </c>
      <c r="D987" s="60">
        <v>2.0</v>
      </c>
      <c r="E987" s="60">
        <v>2.0</v>
      </c>
      <c r="F987" s="60">
        <v>4.0</v>
      </c>
      <c r="G987" s="118" t="s">
        <v>583</v>
      </c>
      <c r="H987" s="116"/>
      <c r="I987" s="116"/>
    </row>
    <row r="988">
      <c r="A988" s="117">
        <v>46017.945572233795</v>
      </c>
      <c r="B988" s="60" t="s">
        <v>395</v>
      </c>
      <c r="C988" s="60" t="s">
        <v>218</v>
      </c>
      <c r="D988" s="60">
        <v>0.08</v>
      </c>
      <c r="E988" s="60">
        <v>45.0</v>
      </c>
      <c r="F988" s="60">
        <v>3.6</v>
      </c>
      <c r="G988" s="118" t="s">
        <v>583</v>
      </c>
      <c r="H988" s="116"/>
      <c r="I988" s="116"/>
    </row>
    <row r="989">
      <c r="A989" s="117">
        <v>46016.94538215278</v>
      </c>
      <c r="B989" s="60" t="s">
        <v>392</v>
      </c>
      <c r="C989" s="60" t="s">
        <v>453</v>
      </c>
      <c r="D989" s="60">
        <v>12.0</v>
      </c>
      <c r="E989" s="60">
        <v>2.0</v>
      </c>
      <c r="F989" s="60">
        <v>24.0</v>
      </c>
      <c r="G989" s="118" t="s">
        <v>585</v>
      </c>
      <c r="H989" s="116"/>
      <c r="I989" s="116"/>
    </row>
    <row r="990">
      <c r="A990" s="117">
        <v>46016.94538215278</v>
      </c>
      <c r="B990" s="60" t="s">
        <v>392</v>
      </c>
      <c r="C990" s="60" t="s">
        <v>170</v>
      </c>
      <c r="D990" s="60">
        <v>0.0</v>
      </c>
      <c r="E990" s="60">
        <v>2.5</v>
      </c>
      <c r="F990" s="60">
        <v>0.0</v>
      </c>
      <c r="G990" s="118" t="s">
        <v>585</v>
      </c>
      <c r="H990" s="116"/>
      <c r="I990" s="116"/>
    </row>
    <row r="991">
      <c r="A991" s="117">
        <v>46016.94538215278</v>
      </c>
      <c r="B991" s="60" t="s">
        <v>392</v>
      </c>
      <c r="C991" s="60" t="s">
        <v>212</v>
      </c>
      <c r="D991" s="60">
        <v>0.33</v>
      </c>
      <c r="E991" s="60">
        <v>10.0</v>
      </c>
      <c r="F991" s="60">
        <v>3.3</v>
      </c>
      <c r="G991" s="118" t="s">
        <v>585</v>
      </c>
      <c r="H991" s="116"/>
      <c r="I991" s="116"/>
    </row>
    <row r="992">
      <c r="A992" s="117">
        <v>46016.94538215278</v>
      </c>
      <c r="B992" s="60" t="s">
        <v>392</v>
      </c>
      <c r="C992" s="60" t="s">
        <v>84</v>
      </c>
      <c r="D992" s="60">
        <v>1.0</v>
      </c>
      <c r="E992" s="60">
        <v>1.0</v>
      </c>
      <c r="F992" s="60">
        <v>1.0</v>
      </c>
      <c r="G992" s="118" t="s">
        <v>585</v>
      </c>
      <c r="H992" s="116"/>
      <c r="I992" s="116"/>
    </row>
    <row r="993">
      <c r="A993" s="117">
        <v>46016.94538215278</v>
      </c>
      <c r="B993" s="60" t="s">
        <v>392</v>
      </c>
      <c r="C993" s="60" t="s">
        <v>454</v>
      </c>
      <c r="D993" s="60">
        <v>0.3</v>
      </c>
      <c r="E993" s="60">
        <v>10.0</v>
      </c>
      <c r="F993" s="60">
        <v>3.0</v>
      </c>
      <c r="G993" s="118" t="s">
        <v>585</v>
      </c>
      <c r="H993" s="116"/>
      <c r="I993" s="116"/>
    </row>
    <row r="994">
      <c r="A994" s="117">
        <v>46016.94538215278</v>
      </c>
      <c r="B994" s="60" t="s">
        <v>397</v>
      </c>
      <c r="C994" s="60" t="s">
        <v>444</v>
      </c>
      <c r="D994" s="60">
        <v>0.07</v>
      </c>
      <c r="E994" s="60">
        <v>42.0</v>
      </c>
      <c r="F994" s="60">
        <v>2.94</v>
      </c>
      <c r="G994" s="118" t="s">
        <v>585</v>
      </c>
      <c r="H994" s="116"/>
      <c r="I994" s="116"/>
    </row>
    <row r="995">
      <c r="A995" s="117">
        <v>46016.94538215278</v>
      </c>
      <c r="B995" s="60" t="s">
        <v>397</v>
      </c>
      <c r="C995" s="60" t="s">
        <v>586</v>
      </c>
      <c r="D995" s="60">
        <v>0.18</v>
      </c>
      <c r="E995" s="60">
        <v>100.0</v>
      </c>
      <c r="F995" s="60">
        <v>18.0</v>
      </c>
      <c r="G995" s="118" t="s">
        <v>585</v>
      </c>
      <c r="H995" s="116"/>
      <c r="I995" s="116"/>
    </row>
    <row r="996">
      <c r="A996" s="117">
        <v>46016.94538215278</v>
      </c>
      <c r="B996" s="60" t="s">
        <v>397</v>
      </c>
      <c r="C996" s="60" t="s">
        <v>328</v>
      </c>
      <c r="D996" s="60">
        <v>0.07</v>
      </c>
      <c r="E996" s="60">
        <v>14.3</v>
      </c>
      <c r="F996" s="60">
        <v>1.0</v>
      </c>
      <c r="G996" s="118" t="s">
        <v>585</v>
      </c>
      <c r="H996" s="116"/>
      <c r="I996" s="116"/>
    </row>
    <row r="997">
      <c r="A997" s="117">
        <v>46015.94585748843</v>
      </c>
      <c r="B997" s="60" t="s">
        <v>392</v>
      </c>
      <c r="C997" s="60" t="s">
        <v>587</v>
      </c>
      <c r="D997" s="60">
        <v>0.0</v>
      </c>
      <c r="E997" s="60">
        <v>4.0</v>
      </c>
      <c r="F997" s="60">
        <v>0.0</v>
      </c>
      <c r="G997" s="118" t="s">
        <v>588</v>
      </c>
      <c r="H997" s="116"/>
      <c r="I997" s="116"/>
    </row>
    <row r="998">
      <c r="A998" s="117">
        <v>46015.94585748843</v>
      </c>
      <c r="B998" s="60" t="s">
        <v>392</v>
      </c>
      <c r="C998" s="60" t="s">
        <v>86</v>
      </c>
      <c r="D998" s="60">
        <v>0.13</v>
      </c>
      <c r="E998" s="60">
        <v>142.0</v>
      </c>
      <c r="F998" s="60">
        <v>18.46</v>
      </c>
      <c r="G998" s="118" t="s">
        <v>588</v>
      </c>
      <c r="H998" s="116"/>
      <c r="I998" s="116"/>
    </row>
    <row r="999">
      <c r="A999" s="117">
        <v>46015.94585748843</v>
      </c>
      <c r="B999" s="60" t="s">
        <v>392</v>
      </c>
      <c r="C999" s="60" t="s">
        <v>170</v>
      </c>
      <c r="D999" s="60">
        <v>0.0</v>
      </c>
      <c r="E999" s="60">
        <v>117.0</v>
      </c>
      <c r="F999" s="60">
        <v>0.0</v>
      </c>
      <c r="G999" s="118" t="s">
        <v>588</v>
      </c>
      <c r="H999" s="116"/>
      <c r="I999" s="116"/>
    </row>
    <row r="1000">
      <c r="A1000" s="117">
        <v>46015.94585748843</v>
      </c>
      <c r="B1000" s="60" t="s">
        <v>392</v>
      </c>
      <c r="C1000" s="60" t="s">
        <v>426</v>
      </c>
      <c r="D1000" s="60">
        <v>0.0</v>
      </c>
      <c r="E1000" s="60">
        <v>77.0</v>
      </c>
      <c r="F1000" s="60">
        <v>0.0</v>
      </c>
      <c r="G1000" s="118" t="s">
        <v>588</v>
      </c>
      <c r="H1000" s="116"/>
      <c r="I1000" s="116"/>
    </row>
    <row r="1001">
      <c r="A1001" s="117">
        <v>46015.94585748843</v>
      </c>
      <c r="B1001" s="60" t="s">
        <v>392</v>
      </c>
      <c r="C1001" s="60" t="s">
        <v>589</v>
      </c>
      <c r="D1001" s="60">
        <v>1.0</v>
      </c>
      <c r="E1001" s="60">
        <v>150.0</v>
      </c>
      <c r="F1001" s="60">
        <v>8.14</v>
      </c>
      <c r="G1001" s="118" t="s">
        <v>588</v>
      </c>
      <c r="H1001" s="116"/>
      <c r="I1001" s="116"/>
    </row>
    <row r="1002">
      <c r="A1002" s="117">
        <v>46015.94585748843</v>
      </c>
      <c r="B1002" s="60" t="s">
        <v>392</v>
      </c>
      <c r="C1002" s="60" t="s">
        <v>218</v>
      </c>
      <c r="D1002" s="60">
        <v>0.08</v>
      </c>
      <c r="E1002" s="60">
        <v>64.0</v>
      </c>
      <c r="F1002" s="60">
        <v>5.12</v>
      </c>
      <c r="G1002" s="118" t="s">
        <v>588</v>
      </c>
      <c r="H1002" s="116"/>
      <c r="I1002" s="116"/>
    </row>
    <row r="1003">
      <c r="A1003" s="117">
        <v>46015.94585748843</v>
      </c>
      <c r="B1003" s="60" t="s">
        <v>392</v>
      </c>
      <c r="C1003" s="60" t="s">
        <v>84</v>
      </c>
      <c r="D1003" s="60">
        <v>1.0</v>
      </c>
      <c r="E1003" s="60">
        <v>1.0</v>
      </c>
      <c r="F1003" s="60">
        <v>1.0</v>
      </c>
      <c r="G1003" s="118" t="s">
        <v>588</v>
      </c>
      <c r="H1003" s="116"/>
      <c r="I1003" s="116"/>
    </row>
    <row r="1004">
      <c r="A1004" s="117">
        <v>46015.94585748843</v>
      </c>
      <c r="B1004" s="60" t="s">
        <v>392</v>
      </c>
      <c r="C1004" s="60" t="s">
        <v>323</v>
      </c>
      <c r="D1004" s="60">
        <v>0.02</v>
      </c>
      <c r="E1004" s="60">
        <v>20.0</v>
      </c>
      <c r="F1004" s="60">
        <v>0.4</v>
      </c>
      <c r="G1004" s="118" t="s">
        <v>588</v>
      </c>
      <c r="H1004" s="116"/>
      <c r="I1004" s="116"/>
    </row>
    <row r="1005">
      <c r="A1005" s="117">
        <v>46015.94585748843</v>
      </c>
      <c r="B1005" s="60" t="s">
        <v>394</v>
      </c>
      <c r="C1005" s="60" t="s">
        <v>426</v>
      </c>
      <c r="D1005" s="60">
        <v>1.0</v>
      </c>
      <c r="E1005" s="60">
        <v>5.6</v>
      </c>
      <c r="F1005" s="60">
        <v>5.6</v>
      </c>
      <c r="G1005" s="118" t="s">
        <v>588</v>
      </c>
      <c r="H1005" s="116"/>
      <c r="I1005" s="116"/>
    </row>
    <row r="1006">
      <c r="A1006" s="117">
        <v>46015.94585748843</v>
      </c>
      <c r="B1006" s="60" t="s">
        <v>397</v>
      </c>
      <c r="C1006" s="60" t="s">
        <v>170</v>
      </c>
      <c r="D1006" s="60">
        <v>0.0</v>
      </c>
      <c r="E1006" s="60">
        <v>2.0</v>
      </c>
      <c r="F1006" s="60">
        <v>0.0</v>
      </c>
      <c r="G1006" s="118" t="s">
        <v>588</v>
      </c>
      <c r="H1006" s="116"/>
      <c r="I1006" s="116"/>
    </row>
    <row r="1007">
      <c r="A1007" s="117">
        <v>46015.94585748843</v>
      </c>
      <c r="B1007" s="60" t="s">
        <v>397</v>
      </c>
      <c r="C1007" s="60" t="s">
        <v>212</v>
      </c>
      <c r="D1007" s="60">
        <v>0.33</v>
      </c>
      <c r="E1007" s="60">
        <v>10.0</v>
      </c>
      <c r="F1007" s="60">
        <v>3.3</v>
      </c>
      <c r="G1007" s="118" t="s">
        <v>588</v>
      </c>
      <c r="H1007" s="116"/>
      <c r="I1007" s="116"/>
    </row>
    <row r="1008">
      <c r="A1008" s="117">
        <v>46015.94585748843</v>
      </c>
      <c r="B1008" s="60" t="s">
        <v>397</v>
      </c>
      <c r="C1008" s="60" t="s">
        <v>429</v>
      </c>
      <c r="D1008" s="60">
        <v>10.0</v>
      </c>
      <c r="E1008" s="60">
        <v>1.0</v>
      </c>
      <c r="F1008" s="60">
        <v>10.0</v>
      </c>
      <c r="G1008" s="118" t="s">
        <v>588</v>
      </c>
      <c r="H1008" s="116"/>
      <c r="I1008" s="116"/>
    </row>
    <row r="1009">
      <c r="A1009" s="117">
        <v>46015.94585748843</v>
      </c>
      <c r="B1009" s="60" t="s">
        <v>397</v>
      </c>
      <c r="C1009" s="60" t="s">
        <v>504</v>
      </c>
      <c r="D1009" s="60">
        <v>5.0</v>
      </c>
      <c r="E1009" s="60">
        <v>1.0</v>
      </c>
      <c r="F1009" s="60">
        <v>5.0</v>
      </c>
      <c r="G1009" s="118" t="s">
        <v>588</v>
      </c>
      <c r="H1009" s="116"/>
      <c r="I1009" s="116"/>
    </row>
    <row r="1010">
      <c r="A1010" s="117">
        <v>46015.94585748843</v>
      </c>
      <c r="B1010" s="60" t="s">
        <v>397</v>
      </c>
      <c r="C1010" s="60" t="s">
        <v>152</v>
      </c>
      <c r="D1010" s="60">
        <v>0.0</v>
      </c>
      <c r="E1010" s="60">
        <v>30.0</v>
      </c>
      <c r="F1010" s="60">
        <v>0.9</v>
      </c>
      <c r="G1010" s="118" t="s">
        <v>588</v>
      </c>
      <c r="H1010" s="116"/>
      <c r="I1010" s="116"/>
    </row>
    <row r="1011">
      <c r="A1011" s="117">
        <v>46015.94585748843</v>
      </c>
      <c r="B1011" s="60" t="s">
        <v>395</v>
      </c>
      <c r="C1011" s="60" t="s">
        <v>586</v>
      </c>
      <c r="D1011" s="60">
        <v>0.18</v>
      </c>
      <c r="E1011" s="60">
        <v>104.0</v>
      </c>
      <c r="F1011" s="60">
        <v>18.72</v>
      </c>
      <c r="G1011" s="118" t="s">
        <v>588</v>
      </c>
      <c r="H1011" s="116"/>
      <c r="I1011" s="116"/>
    </row>
    <row r="1012">
      <c r="A1012" s="117">
        <v>46015.94585748843</v>
      </c>
      <c r="B1012" s="60" t="s">
        <v>395</v>
      </c>
      <c r="C1012" s="60" t="s">
        <v>444</v>
      </c>
      <c r="D1012" s="60">
        <v>0.05</v>
      </c>
      <c r="E1012" s="60">
        <v>50.0</v>
      </c>
      <c r="F1012" s="60">
        <v>2.5</v>
      </c>
      <c r="G1012" s="118" t="s">
        <v>588</v>
      </c>
      <c r="H1012" s="116"/>
      <c r="I1012" s="116"/>
    </row>
    <row r="1013">
      <c r="A1013" s="117">
        <v>46015.94585748843</v>
      </c>
      <c r="B1013" s="60" t="s">
        <v>395</v>
      </c>
      <c r="C1013" s="60" t="s">
        <v>590</v>
      </c>
      <c r="D1013" s="60">
        <v>1.0</v>
      </c>
      <c r="E1013" s="60">
        <v>6.0</v>
      </c>
      <c r="F1013" s="60">
        <v>6.0</v>
      </c>
      <c r="G1013" s="118" t="s">
        <v>588</v>
      </c>
      <c r="H1013" s="116"/>
      <c r="I1013" s="116"/>
    </row>
    <row r="1014">
      <c r="A1014" s="117">
        <v>46015.94585748843</v>
      </c>
      <c r="B1014" s="60" t="s">
        <v>395</v>
      </c>
      <c r="C1014" s="60" t="s">
        <v>322</v>
      </c>
      <c r="D1014" s="60">
        <v>0.05</v>
      </c>
      <c r="E1014" s="60">
        <v>35.0</v>
      </c>
      <c r="F1014" s="60">
        <v>1.75</v>
      </c>
      <c r="G1014" s="118" t="s">
        <v>588</v>
      </c>
      <c r="H1014" s="116"/>
      <c r="I1014" s="116"/>
    </row>
    <row r="1015">
      <c r="A1015" s="117">
        <v>46014.94565391204</v>
      </c>
      <c r="B1015" s="60" t="s">
        <v>392</v>
      </c>
      <c r="C1015" s="60" t="s">
        <v>429</v>
      </c>
      <c r="D1015" s="60">
        <v>10.0</v>
      </c>
      <c r="E1015" s="60">
        <v>1.5</v>
      </c>
      <c r="F1015" s="60">
        <v>15.0</v>
      </c>
      <c r="G1015" s="118" t="s">
        <v>591</v>
      </c>
      <c r="H1015" s="116"/>
      <c r="I1015" s="116"/>
    </row>
    <row r="1016">
      <c r="A1016" s="117">
        <v>46014.94565391204</v>
      </c>
      <c r="B1016" s="60" t="s">
        <v>392</v>
      </c>
      <c r="C1016" s="60" t="s">
        <v>233</v>
      </c>
      <c r="D1016" s="60">
        <v>2.34</v>
      </c>
      <c r="E1016" s="60">
        <v>1.0</v>
      </c>
      <c r="F1016" s="60">
        <v>2.34</v>
      </c>
      <c r="G1016" s="118" t="s">
        <v>591</v>
      </c>
      <c r="H1016" s="116"/>
      <c r="I1016" s="116"/>
    </row>
    <row r="1017">
      <c r="A1017" s="117">
        <v>46014.94565391204</v>
      </c>
      <c r="B1017" s="60" t="s">
        <v>392</v>
      </c>
      <c r="C1017" s="60" t="s">
        <v>89</v>
      </c>
      <c r="D1017" s="60">
        <v>0.13</v>
      </c>
      <c r="E1017" s="60">
        <v>42.0</v>
      </c>
      <c r="F1017" s="60">
        <v>5.46</v>
      </c>
      <c r="G1017" s="118" t="s">
        <v>591</v>
      </c>
      <c r="H1017" s="116"/>
      <c r="I1017" s="116"/>
    </row>
    <row r="1018">
      <c r="A1018" s="117">
        <v>46014.94565391204</v>
      </c>
      <c r="B1018" s="60" t="s">
        <v>392</v>
      </c>
      <c r="C1018" s="60" t="s">
        <v>84</v>
      </c>
      <c r="D1018" s="60">
        <v>1.0</v>
      </c>
      <c r="E1018" s="60">
        <v>1.0</v>
      </c>
      <c r="F1018" s="60">
        <v>1.0</v>
      </c>
      <c r="G1018" s="118" t="s">
        <v>591</v>
      </c>
      <c r="H1018" s="116"/>
      <c r="I1018" s="116"/>
    </row>
    <row r="1019">
      <c r="A1019" s="117">
        <v>46014.94565391204</v>
      </c>
      <c r="B1019" s="60" t="s">
        <v>397</v>
      </c>
      <c r="C1019" s="60" t="s">
        <v>87</v>
      </c>
      <c r="D1019" s="60">
        <v>0.27</v>
      </c>
      <c r="E1019" s="60">
        <v>75.0</v>
      </c>
      <c r="F1019" s="60">
        <v>20.25</v>
      </c>
      <c r="G1019" s="118" t="s">
        <v>591</v>
      </c>
      <c r="H1019" s="116"/>
      <c r="I1019" s="116"/>
    </row>
    <row r="1020">
      <c r="A1020" s="117">
        <v>46014.94565391204</v>
      </c>
      <c r="B1020" s="60" t="s">
        <v>397</v>
      </c>
      <c r="C1020" s="60" t="s">
        <v>328</v>
      </c>
      <c r="D1020" s="60">
        <v>0.07</v>
      </c>
      <c r="E1020" s="60">
        <v>10.0</v>
      </c>
      <c r="F1020" s="60">
        <v>0.7</v>
      </c>
      <c r="G1020" s="118" t="s">
        <v>591</v>
      </c>
      <c r="H1020" s="116"/>
      <c r="I1020" s="116"/>
    </row>
    <row r="1021">
      <c r="A1021" s="117">
        <v>46014.94565391204</v>
      </c>
      <c r="B1021" s="60" t="s">
        <v>397</v>
      </c>
      <c r="C1021" s="60" t="s">
        <v>462</v>
      </c>
      <c r="D1021" s="60">
        <v>0.02</v>
      </c>
      <c r="E1021" s="60">
        <v>60.0</v>
      </c>
      <c r="F1021" s="60">
        <v>1.2</v>
      </c>
      <c r="G1021" s="118" t="s">
        <v>591</v>
      </c>
      <c r="H1021" s="116"/>
      <c r="I1021" s="116"/>
    </row>
    <row r="1022">
      <c r="A1022" s="117">
        <v>46014.94565391204</v>
      </c>
      <c r="B1022" s="60" t="s">
        <v>397</v>
      </c>
      <c r="C1022" s="60" t="s">
        <v>111</v>
      </c>
      <c r="D1022" s="60">
        <v>0.12</v>
      </c>
      <c r="E1022" s="60">
        <v>45.0</v>
      </c>
      <c r="F1022" s="60">
        <v>5.4</v>
      </c>
      <c r="G1022" s="118" t="s">
        <v>591</v>
      </c>
      <c r="H1022" s="116"/>
      <c r="I1022" s="116"/>
    </row>
    <row r="1023">
      <c r="A1023" s="117">
        <v>46014.94565391204</v>
      </c>
      <c r="B1023" s="60" t="s">
        <v>398</v>
      </c>
      <c r="C1023" s="60" t="s">
        <v>89</v>
      </c>
      <c r="D1023" s="60">
        <v>0.13</v>
      </c>
      <c r="E1023" s="60">
        <v>66.0</v>
      </c>
      <c r="F1023" s="60">
        <v>8.58</v>
      </c>
      <c r="G1023" s="118" t="s">
        <v>591</v>
      </c>
      <c r="H1023" s="116"/>
      <c r="I1023" s="116"/>
    </row>
    <row r="1024">
      <c r="A1024" s="117">
        <v>46014.94565391204</v>
      </c>
      <c r="B1024" s="60" t="s">
        <v>398</v>
      </c>
      <c r="C1024" s="60" t="s">
        <v>233</v>
      </c>
      <c r="D1024" s="60">
        <v>0.13</v>
      </c>
      <c r="E1024" s="60">
        <v>23.0</v>
      </c>
      <c r="F1024" s="60">
        <v>2.99</v>
      </c>
      <c r="G1024" s="118" t="s">
        <v>591</v>
      </c>
      <c r="H1024" s="116"/>
      <c r="I1024" s="116"/>
    </row>
    <row r="1025">
      <c r="A1025" s="117">
        <v>46014.94565391204</v>
      </c>
      <c r="B1025" s="60" t="s">
        <v>395</v>
      </c>
      <c r="C1025" s="60" t="s">
        <v>423</v>
      </c>
      <c r="D1025" s="60">
        <v>19.0</v>
      </c>
      <c r="E1025" s="60">
        <v>1.0</v>
      </c>
      <c r="F1025" s="60">
        <v>19.0</v>
      </c>
      <c r="G1025" s="118" t="s">
        <v>591</v>
      </c>
      <c r="H1025" s="116"/>
      <c r="I1025" s="116"/>
    </row>
    <row r="1026">
      <c r="A1026" s="117">
        <v>46014.94565391204</v>
      </c>
      <c r="B1026" s="60" t="s">
        <v>395</v>
      </c>
      <c r="C1026" s="60" t="s">
        <v>438</v>
      </c>
      <c r="D1026" s="60">
        <v>0.0</v>
      </c>
      <c r="E1026" s="60">
        <v>1.0</v>
      </c>
      <c r="F1026" s="60">
        <v>0.0</v>
      </c>
      <c r="G1026" s="118" t="s">
        <v>591</v>
      </c>
      <c r="H1026" s="116"/>
      <c r="I1026" s="116"/>
    </row>
    <row r="1027">
      <c r="A1027" s="117">
        <v>46014.94565391204</v>
      </c>
      <c r="B1027" s="60" t="s">
        <v>395</v>
      </c>
      <c r="C1027" s="60" t="s">
        <v>104</v>
      </c>
      <c r="D1027" s="60">
        <v>0.05</v>
      </c>
      <c r="E1027" s="60">
        <v>15.0</v>
      </c>
      <c r="F1027" s="60">
        <v>0.75</v>
      </c>
      <c r="G1027" s="118" t="s">
        <v>591</v>
      </c>
      <c r="H1027" s="116"/>
      <c r="I1027" s="116"/>
    </row>
    <row r="1028">
      <c r="A1028" s="117">
        <v>46013.94539998843</v>
      </c>
      <c r="B1028" s="60" t="s">
        <v>392</v>
      </c>
      <c r="C1028" s="60" t="s">
        <v>463</v>
      </c>
      <c r="D1028" s="60">
        <v>12.0</v>
      </c>
      <c r="E1028" s="60">
        <v>1.0</v>
      </c>
      <c r="F1028" s="60">
        <v>12.0</v>
      </c>
      <c r="G1028" s="118" t="s">
        <v>592</v>
      </c>
      <c r="H1028" s="116"/>
      <c r="I1028" s="116"/>
    </row>
    <row r="1029">
      <c r="A1029" s="117">
        <v>46013.94539998843</v>
      </c>
      <c r="B1029" s="60" t="s">
        <v>392</v>
      </c>
      <c r="C1029" s="60" t="s">
        <v>170</v>
      </c>
      <c r="D1029" s="60">
        <v>0.0</v>
      </c>
      <c r="E1029" s="60">
        <v>2.5</v>
      </c>
      <c r="F1029" s="60">
        <v>0.0</v>
      </c>
      <c r="G1029" s="118" t="s">
        <v>592</v>
      </c>
      <c r="H1029" s="116"/>
      <c r="I1029" s="116"/>
    </row>
    <row r="1030">
      <c r="A1030" s="117">
        <v>46013.94539998843</v>
      </c>
      <c r="B1030" s="60" t="s">
        <v>392</v>
      </c>
      <c r="C1030" s="60" t="s">
        <v>212</v>
      </c>
      <c r="D1030" s="60">
        <v>0.33</v>
      </c>
      <c r="E1030" s="60">
        <v>10.0</v>
      </c>
      <c r="F1030" s="60">
        <v>3.3</v>
      </c>
      <c r="G1030" s="118" t="s">
        <v>592</v>
      </c>
      <c r="H1030" s="116"/>
      <c r="I1030" s="116"/>
    </row>
    <row r="1031">
      <c r="A1031" s="117">
        <v>46013.94539998843</v>
      </c>
      <c r="B1031" s="60" t="s">
        <v>392</v>
      </c>
      <c r="C1031" s="60" t="s">
        <v>84</v>
      </c>
      <c r="D1031" s="60">
        <v>1.0</v>
      </c>
      <c r="E1031" s="60">
        <v>1.0</v>
      </c>
      <c r="F1031" s="60">
        <v>1.0</v>
      </c>
      <c r="G1031" s="118" t="s">
        <v>592</v>
      </c>
      <c r="H1031" s="116"/>
      <c r="I1031" s="116"/>
    </row>
    <row r="1032">
      <c r="A1032" s="117">
        <v>46013.94539998843</v>
      </c>
      <c r="B1032" s="60" t="s">
        <v>392</v>
      </c>
      <c r="C1032" s="60" t="s">
        <v>125</v>
      </c>
      <c r="D1032" s="60">
        <v>0.08</v>
      </c>
      <c r="E1032" s="60">
        <v>40.0</v>
      </c>
      <c r="F1032" s="60">
        <v>3.2</v>
      </c>
      <c r="G1032" s="118" t="s">
        <v>592</v>
      </c>
      <c r="H1032" s="116"/>
      <c r="I1032" s="116"/>
    </row>
    <row r="1033">
      <c r="A1033" s="117">
        <v>46013.94539998843</v>
      </c>
      <c r="B1033" s="60" t="s">
        <v>397</v>
      </c>
      <c r="C1033" s="60" t="s">
        <v>444</v>
      </c>
      <c r="D1033" s="60">
        <v>0.07</v>
      </c>
      <c r="E1033" s="60">
        <v>32.0</v>
      </c>
      <c r="F1033" s="60">
        <v>2.24</v>
      </c>
      <c r="G1033" s="118" t="s">
        <v>592</v>
      </c>
      <c r="H1033" s="116"/>
      <c r="I1033" s="116"/>
    </row>
    <row r="1034">
      <c r="A1034" s="117">
        <v>46013.94539998843</v>
      </c>
      <c r="B1034" s="60" t="s">
        <v>397</v>
      </c>
      <c r="C1034" s="60" t="s">
        <v>423</v>
      </c>
      <c r="D1034" s="60">
        <v>19.0</v>
      </c>
      <c r="E1034" s="60">
        <v>1.0</v>
      </c>
      <c r="F1034" s="60">
        <v>19.0</v>
      </c>
      <c r="G1034" s="118" t="s">
        <v>592</v>
      </c>
      <c r="H1034" s="116"/>
      <c r="I1034" s="116"/>
    </row>
    <row r="1035">
      <c r="A1035" s="117">
        <v>46013.94539998843</v>
      </c>
      <c r="B1035" s="60" t="s">
        <v>397</v>
      </c>
      <c r="C1035" s="60" t="s">
        <v>233</v>
      </c>
      <c r="D1035" s="60">
        <v>0.13</v>
      </c>
      <c r="E1035" s="60">
        <v>18.0</v>
      </c>
      <c r="F1035" s="60">
        <v>2.34</v>
      </c>
      <c r="G1035" s="118" t="s">
        <v>592</v>
      </c>
      <c r="H1035" s="116"/>
      <c r="I1035" s="116"/>
    </row>
    <row r="1036">
      <c r="A1036" s="117">
        <v>46013.94539998843</v>
      </c>
      <c r="B1036" s="60" t="s">
        <v>397</v>
      </c>
      <c r="C1036" s="60" t="s">
        <v>84</v>
      </c>
      <c r="D1036" s="60">
        <v>1.0</v>
      </c>
      <c r="E1036" s="60">
        <v>1.0</v>
      </c>
      <c r="F1036" s="60">
        <v>1.0</v>
      </c>
      <c r="G1036" s="118" t="s">
        <v>592</v>
      </c>
      <c r="H1036" s="116"/>
      <c r="I1036" s="116"/>
    </row>
    <row r="1037">
      <c r="A1037" s="117">
        <v>46013.94539998843</v>
      </c>
      <c r="B1037" s="60" t="s">
        <v>397</v>
      </c>
      <c r="C1037" s="60" t="s">
        <v>104</v>
      </c>
      <c r="D1037" s="60">
        <v>0.05</v>
      </c>
      <c r="E1037" s="60">
        <v>37.0</v>
      </c>
      <c r="F1037" s="60">
        <v>1.85</v>
      </c>
      <c r="G1037" s="118" t="s">
        <v>592</v>
      </c>
      <c r="H1037" s="116"/>
      <c r="I1037" s="116"/>
    </row>
    <row r="1038">
      <c r="A1038" s="117">
        <v>46013.94539998843</v>
      </c>
      <c r="B1038" s="60" t="s">
        <v>397</v>
      </c>
      <c r="C1038" s="60" t="s">
        <v>164</v>
      </c>
      <c r="D1038" s="60">
        <v>0.0</v>
      </c>
      <c r="E1038" s="60">
        <v>3000.0</v>
      </c>
      <c r="F1038" s="60">
        <v>0.0</v>
      </c>
      <c r="G1038" s="118" t="s">
        <v>592</v>
      </c>
      <c r="H1038" s="116"/>
      <c r="I1038" s="116"/>
    </row>
    <row r="1039">
      <c r="A1039" s="117">
        <v>46013.94539998843</v>
      </c>
      <c r="B1039" s="60" t="s">
        <v>395</v>
      </c>
      <c r="C1039" s="60" t="s">
        <v>189</v>
      </c>
      <c r="D1039" s="60">
        <v>0.14</v>
      </c>
      <c r="E1039" s="60">
        <v>70.0</v>
      </c>
      <c r="F1039" s="60">
        <v>9.8</v>
      </c>
      <c r="G1039" s="118" t="s">
        <v>592</v>
      </c>
      <c r="H1039" s="116"/>
      <c r="I1039" s="116"/>
    </row>
    <row r="1040">
      <c r="A1040" s="117">
        <v>46013.94539998843</v>
      </c>
      <c r="B1040" s="60" t="s">
        <v>395</v>
      </c>
      <c r="C1040" s="60" t="s">
        <v>429</v>
      </c>
      <c r="D1040" s="60">
        <v>10.0</v>
      </c>
      <c r="E1040" s="60">
        <v>1.0</v>
      </c>
      <c r="F1040" s="60">
        <v>10.0</v>
      </c>
      <c r="G1040" s="118" t="s">
        <v>592</v>
      </c>
      <c r="H1040" s="116"/>
      <c r="I1040" s="116"/>
    </row>
    <row r="1041">
      <c r="A1041" s="117">
        <v>46013.94539998843</v>
      </c>
      <c r="B1041" s="60" t="s">
        <v>395</v>
      </c>
      <c r="C1041" s="60" t="s">
        <v>462</v>
      </c>
      <c r="D1041" s="60">
        <v>0.02</v>
      </c>
      <c r="E1041" s="60">
        <v>130.0</v>
      </c>
      <c r="F1041" s="60">
        <v>2.6</v>
      </c>
      <c r="G1041" s="118" t="s">
        <v>592</v>
      </c>
      <c r="H1041" s="116"/>
      <c r="I1041" s="116"/>
    </row>
    <row r="1042">
      <c r="A1042" s="117">
        <v>46012.94556032408</v>
      </c>
      <c r="B1042" s="60" t="s">
        <v>392</v>
      </c>
      <c r="C1042" s="60" t="s">
        <v>170</v>
      </c>
      <c r="D1042" s="60">
        <v>0.0</v>
      </c>
      <c r="E1042" s="60">
        <v>2.5</v>
      </c>
      <c r="F1042" s="60">
        <v>0.0</v>
      </c>
      <c r="G1042" s="118" t="s">
        <v>593</v>
      </c>
      <c r="H1042" s="116"/>
      <c r="I1042" s="116"/>
    </row>
    <row r="1043">
      <c r="A1043" s="117">
        <v>46012.94556032408</v>
      </c>
      <c r="B1043" s="60" t="s">
        <v>392</v>
      </c>
      <c r="C1043" s="60" t="s">
        <v>212</v>
      </c>
      <c r="D1043" s="60">
        <v>0.33</v>
      </c>
      <c r="E1043" s="60">
        <v>10.0</v>
      </c>
      <c r="F1043" s="60">
        <v>3.3</v>
      </c>
      <c r="G1043" s="118" t="s">
        <v>593</v>
      </c>
      <c r="H1043" s="116"/>
      <c r="I1043" s="116"/>
    </row>
    <row r="1044">
      <c r="A1044" s="117">
        <v>46012.94556032408</v>
      </c>
      <c r="B1044" s="60" t="s">
        <v>392</v>
      </c>
      <c r="C1044" s="60" t="s">
        <v>84</v>
      </c>
      <c r="D1044" s="60">
        <v>1.0</v>
      </c>
      <c r="E1044" s="60">
        <v>1.0</v>
      </c>
      <c r="F1044" s="60">
        <v>1.0</v>
      </c>
      <c r="G1044" s="118" t="s">
        <v>593</v>
      </c>
      <c r="H1044" s="116"/>
      <c r="I1044" s="116"/>
    </row>
    <row r="1045">
      <c r="A1045" s="117">
        <v>46012.94556032408</v>
      </c>
      <c r="B1045" s="60" t="s">
        <v>392</v>
      </c>
      <c r="C1045" s="60" t="s">
        <v>504</v>
      </c>
      <c r="D1045" s="60">
        <v>5.0</v>
      </c>
      <c r="E1045" s="60">
        <v>1.0</v>
      </c>
      <c r="F1045" s="60">
        <v>5.0</v>
      </c>
      <c r="G1045" s="118" t="s">
        <v>593</v>
      </c>
      <c r="H1045" s="116"/>
      <c r="I1045" s="116"/>
    </row>
    <row r="1046">
      <c r="A1046" s="117">
        <v>46012.94556032408</v>
      </c>
      <c r="B1046" s="60" t="s">
        <v>392</v>
      </c>
      <c r="C1046" s="60" t="s">
        <v>125</v>
      </c>
      <c r="D1046" s="60">
        <v>0.08</v>
      </c>
      <c r="E1046" s="60">
        <v>60.0</v>
      </c>
      <c r="F1046" s="60">
        <v>4.8</v>
      </c>
      <c r="G1046" s="118" t="s">
        <v>593</v>
      </c>
      <c r="H1046" s="116"/>
      <c r="I1046" s="116"/>
    </row>
    <row r="1047">
      <c r="A1047" s="117">
        <v>46012.94556032408</v>
      </c>
      <c r="B1047" s="60" t="s">
        <v>392</v>
      </c>
      <c r="C1047" s="60" t="s">
        <v>429</v>
      </c>
      <c r="D1047" s="60">
        <v>10.0</v>
      </c>
      <c r="E1047" s="60">
        <v>1.0</v>
      </c>
      <c r="F1047" s="60">
        <v>10.0</v>
      </c>
      <c r="G1047" s="118" t="s">
        <v>593</v>
      </c>
      <c r="H1047" s="116"/>
      <c r="I1047" s="116"/>
    </row>
    <row r="1048">
      <c r="A1048" s="117">
        <v>46012.94556032408</v>
      </c>
      <c r="B1048" s="60" t="s">
        <v>392</v>
      </c>
      <c r="C1048" s="60" t="s">
        <v>280</v>
      </c>
      <c r="D1048" s="60">
        <v>0.13</v>
      </c>
      <c r="E1048" s="60">
        <v>46.0</v>
      </c>
      <c r="F1048" s="60">
        <v>5.98</v>
      </c>
      <c r="G1048" s="118" t="s">
        <v>593</v>
      </c>
      <c r="H1048" s="116"/>
      <c r="I1048" s="116"/>
    </row>
    <row r="1049">
      <c r="A1049" s="117">
        <v>46012.94556032408</v>
      </c>
      <c r="B1049" s="60" t="s">
        <v>397</v>
      </c>
      <c r="C1049" s="60" t="s">
        <v>87</v>
      </c>
      <c r="D1049" s="60">
        <v>0.27</v>
      </c>
      <c r="E1049" s="60">
        <v>120.0</v>
      </c>
      <c r="F1049" s="60">
        <v>32.4</v>
      </c>
      <c r="G1049" s="118" t="s">
        <v>593</v>
      </c>
      <c r="H1049" s="116"/>
      <c r="I1049" s="116"/>
    </row>
    <row r="1050">
      <c r="A1050" s="117">
        <v>46012.94556032408</v>
      </c>
      <c r="B1050" s="60" t="s">
        <v>397</v>
      </c>
      <c r="C1050" s="60" t="s">
        <v>118</v>
      </c>
      <c r="D1050" s="60">
        <v>0.43</v>
      </c>
      <c r="E1050" s="60">
        <v>10.0</v>
      </c>
      <c r="F1050" s="60">
        <v>4.3</v>
      </c>
      <c r="G1050" s="118" t="s">
        <v>593</v>
      </c>
      <c r="H1050" s="116"/>
      <c r="I1050" s="116"/>
    </row>
    <row r="1051">
      <c r="A1051" s="117">
        <v>46012.94556032408</v>
      </c>
      <c r="B1051" s="60" t="s">
        <v>397</v>
      </c>
      <c r="C1051" s="60" t="s">
        <v>205</v>
      </c>
      <c r="D1051" s="60">
        <v>0.08</v>
      </c>
      <c r="E1051" s="60">
        <v>30.0</v>
      </c>
      <c r="F1051" s="60">
        <v>2.4</v>
      </c>
      <c r="G1051" s="118" t="s">
        <v>593</v>
      </c>
      <c r="H1051" s="116"/>
      <c r="I1051" s="116"/>
    </row>
    <row r="1052">
      <c r="A1052" s="117">
        <v>46012.94556032408</v>
      </c>
      <c r="B1052" s="60" t="s">
        <v>395</v>
      </c>
      <c r="C1052" s="60" t="s">
        <v>594</v>
      </c>
      <c r="D1052" s="60">
        <v>1.0</v>
      </c>
      <c r="E1052" s="60">
        <v>6.5</v>
      </c>
      <c r="F1052" s="60">
        <v>6.5</v>
      </c>
      <c r="G1052" s="118" t="s">
        <v>593</v>
      </c>
      <c r="H1052" s="116"/>
      <c r="I1052" s="116"/>
    </row>
    <row r="1053">
      <c r="A1053" s="117">
        <v>46012.94556032408</v>
      </c>
      <c r="B1053" s="60" t="s">
        <v>395</v>
      </c>
      <c r="C1053" s="60" t="s">
        <v>367</v>
      </c>
      <c r="D1053" s="60">
        <v>0.13</v>
      </c>
      <c r="E1053" s="60">
        <v>53.0</v>
      </c>
      <c r="F1053" s="60">
        <v>6.89</v>
      </c>
      <c r="G1053" s="118" t="s">
        <v>593</v>
      </c>
      <c r="H1053" s="116"/>
      <c r="I1053" s="116"/>
    </row>
    <row r="1054">
      <c r="A1054" s="117">
        <v>46012.94556032408</v>
      </c>
      <c r="B1054" s="60" t="s">
        <v>395</v>
      </c>
      <c r="C1054" s="60" t="s">
        <v>132</v>
      </c>
      <c r="D1054" s="60">
        <v>0.02</v>
      </c>
      <c r="E1054" s="60">
        <v>100.0</v>
      </c>
      <c r="F1054" s="60">
        <v>2.0</v>
      </c>
      <c r="G1054" s="118" t="s">
        <v>593</v>
      </c>
      <c r="H1054" s="116"/>
      <c r="I1054" s="116"/>
    </row>
    <row r="1055">
      <c r="A1055" s="117">
        <v>46012.94556032408</v>
      </c>
      <c r="B1055" s="60" t="s">
        <v>395</v>
      </c>
      <c r="C1055" s="60" t="s">
        <v>328</v>
      </c>
      <c r="D1055" s="60">
        <v>0.07</v>
      </c>
      <c r="E1055" s="60">
        <v>14.3</v>
      </c>
      <c r="F1055" s="60">
        <v>1.0</v>
      </c>
      <c r="G1055" s="118" t="s">
        <v>593</v>
      </c>
      <c r="H1055" s="116"/>
      <c r="I1055" s="116"/>
    </row>
    <row r="1056">
      <c r="A1056" s="117">
        <v>46011.94544122685</v>
      </c>
      <c r="B1056" s="60" t="s">
        <v>392</v>
      </c>
      <c r="C1056" s="60" t="s">
        <v>429</v>
      </c>
      <c r="D1056" s="60">
        <v>10.0</v>
      </c>
      <c r="E1056" s="60">
        <v>1.0</v>
      </c>
      <c r="F1056" s="60">
        <v>10.0</v>
      </c>
      <c r="G1056" s="118" t="s">
        <v>595</v>
      </c>
      <c r="H1056" s="116"/>
      <c r="I1056" s="116"/>
    </row>
    <row r="1057">
      <c r="A1057" s="117">
        <v>46011.94544122685</v>
      </c>
      <c r="B1057" s="60" t="s">
        <v>392</v>
      </c>
      <c r="C1057" s="60" t="s">
        <v>233</v>
      </c>
      <c r="D1057" s="60">
        <v>0.13</v>
      </c>
      <c r="E1057" s="60">
        <v>18.0</v>
      </c>
      <c r="F1057" s="60">
        <v>2.34</v>
      </c>
      <c r="G1057" s="118" t="s">
        <v>595</v>
      </c>
      <c r="H1057" s="116"/>
      <c r="I1057" s="116"/>
    </row>
    <row r="1058">
      <c r="A1058" s="117">
        <v>46011.94544122685</v>
      </c>
      <c r="B1058" s="60" t="s">
        <v>392</v>
      </c>
      <c r="C1058" s="60" t="s">
        <v>125</v>
      </c>
      <c r="D1058" s="60">
        <v>0.08</v>
      </c>
      <c r="E1058" s="60">
        <v>60.0</v>
      </c>
      <c r="F1058" s="60">
        <v>4.8</v>
      </c>
      <c r="G1058" s="118" t="s">
        <v>595</v>
      </c>
      <c r="H1058" s="116"/>
      <c r="I1058" s="116"/>
    </row>
    <row r="1059">
      <c r="A1059" s="117">
        <v>46011.94544122685</v>
      </c>
      <c r="B1059" s="60" t="s">
        <v>392</v>
      </c>
      <c r="C1059" s="60" t="s">
        <v>325</v>
      </c>
      <c r="D1059" s="60">
        <v>0.05</v>
      </c>
      <c r="E1059" s="60">
        <v>60.0</v>
      </c>
      <c r="F1059" s="60">
        <v>3.0</v>
      </c>
      <c r="G1059" s="118" t="s">
        <v>595</v>
      </c>
      <c r="H1059" s="116"/>
      <c r="I1059" s="116"/>
    </row>
    <row r="1060">
      <c r="A1060" s="117">
        <v>46011.94544122685</v>
      </c>
      <c r="B1060" s="60" t="s">
        <v>397</v>
      </c>
      <c r="C1060" s="60" t="s">
        <v>463</v>
      </c>
      <c r="D1060" s="60">
        <v>12.0</v>
      </c>
      <c r="E1060" s="60">
        <v>1.0</v>
      </c>
      <c r="F1060" s="60">
        <v>12.0</v>
      </c>
      <c r="G1060" s="118" t="s">
        <v>595</v>
      </c>
      <c r="H1060" s="116"/>
      <c r="I1060" s="116"/>
    </row>
    <row r="1061">
      <c r="A1061" s="117">
        <v>46011.94544122685</v>
      </c>
      <c r="B1061" s="60" t="s">
        <v>397</v>
      </c>
      <c r="C1061" s="60" t="s">
        <v>596</v>
      </c>
      <c r="D1061" s="60">
        <v>11.0</v>
      </c>
      <c r="E1061" s="60">
        <v>1.0</v>
      </c>
      <c r="F1061" s="60">
        <v>11.0</v>
      </c>
      <c r="G1061" s="118" t="s">
        <v>595</v>
      </c>
      <c r="H1061" s="116"/>
      <c r="I1061" s="116"/>
    </row>
    <row r="1062">
      <c r="A1062" s="117">
        <v>46011.94544122685</v>
      </c>
      <c r="B1062" s="60" t="s">
        <v>395</v>
      </c>
      <c r="C1062" s="60" t="s">
        <v>423</v>
      </c>
      <c r="D1062" s="60">
        <v>19.0</v>
      </c>
      <c r="E1062" s="60">
        <v>1.0</v>
      </c>
      <c r="F1062" s="60">
        <v>19.0</v>
      </c>
      <c r="G1062" s="118" t="s">
        <v>595</v>
      </c>
      <c r="H1062" s="116"/>
      <c r="I1062" s="116"/>
    </row>
    <row r="1063">
      <c r="A1063" s="117">
        <v>46011.94544122685</v>
      </c>
      <c r="B1063" s="60" t="s">
        <v>395</v>
      </c>
      <c r="C1063" s="60" t="s">
        <v>233</v>
      </c>
      <c r="D1063" s="60">
        <v>0.13</v>
      </c>
      <c r="E1063" s="60">
        <v>18.0</v>
      </c>
      <c r="F1063" s="60">
        <v>2.34</v>
      </c>
      <c r="G1063" s="118" t="s">
        <v>595</v>
      </c>
      <c r="H1063" s="116"/>
      <c r="I1063" s="116"/>
    </row>
    <row r="1064">
      <c r="A1064" s="117">
        <v>46011.94544122685</v>
      </c>
      <c r="B1064" s="60" t="s">
        <v>395</v>
      </c>
      <c r="C1064" s="60" t="s">
        <v>479</v>
      </c>
      <c r="D1064" s="60">
        <v>2.5</v>
      </c>
      <c r="E1064" s="60">
        <v>1.0</v>
      </c>
      <c r="F1064" s="60">
        <v>2.5</v>
      </c>
      <c r="G1064" s="118" t="s">
        <v>595</v>
      </c>
      <c r="H1064" s="116"/>
      <c r="I1064" s="116"/>
    </row>
    <row r="1065">
      <c r="A1065" s="117">
        <v>46011.94544122685</v>
      </c>
      <c r="B1065" s="60" t="s">
        <v>395</v>
      </c>
      <c r="C1065" s="60" t="s">
        <v>424</v>
      </c>
      <c r="D1065" s="60">
        <v>0.27</v>
      </c>
      <c r="E1065" s="60">
        <v>8.0</v>
      </c>
      <c r="F1065" s="60">
        <v>2.16</v>
      </c>
      <c r="G1065" s="118" t="s">
        <v>595</v>
      </c>
      <c r="H1065" s="116"/>
      <c r="I1065" s="116"/>
    </row>
    <row r="1066">
      <c r="A1066" s="117">
        <v>46010.94533184028</v>
      </c>
      <c r="B1066" s="60" t="s">
        <v>392</v>
      </c>
      <c r="C1066" s="60" t="s">
        <v>170</v>
      </c>
      <c r="D1066" s="60">
        <v>0.0</v>
      </c>
      <c r="E1066" s="60">
        <v>2.5</v>
      </c>
      <c r="F1066" s="60">
        <v>0.0</v>
      </c>
      <c r="G1066" s="118" t="s">
        <v>597</v>
      </c>
      <c r="H1066" s="116"/>
      <c r="I1066" s="116"/>
    </row>
    <row r="1067">
      <c r="A1067" s="117">
        <v>46010.94533184028</v>
      </c>
      <c r="B1067" s="60" t="s">
        <v>392</v>
      </c>
      <c r="C1067" s="60" t="s">
        <v>429</v>
      </c>
      <c r="D1067" s="60">
        <v>10.0</v>
      </c>
      <c r="E1067" s="60">
        <v>1.0</v>
      </c>
      <c r="F1067" s="60">
        <v>10.0</v>
      </c>
      <c r="G1067" s="118" t="s">
        <v>597</v>
      </c>
      <c r="H1067" s="116"/>
      <c r="I1067" s="116"/>
    </row>
    <row r="1068">
      <c r="A1068" s="117">
        <v>46010.94533184028</v>
      </c>
      <c r="B1068" s="60" t="s">
        <v>392</v>
      </c>
      <c r="C1068" s="60" t="s">
        <v>111</v>
      </c>
      <c r="D1068" s="60">
        <v>0.12</v>
      </c>
      <c r="E1068" s="60">
        <v>40.0</v>
      </c>
      <c r="F1068" s="60">
        <v>4.8</v>
      </c>
      <c r="G1068" s="118" t="s">
        <v>597</v>
      </c>
      <c r="H1068" s="116"/>
      <c r="I1068" s="116"/>
    </row>
    <row r="1069">
      <c r="A1069" s="117">
        <v>46010.94533184028</v>
      </c>
      <c r="B1069" s="60" t="s">
        <v>392</v>
      </c>
      <c r="C1069" s="60" t="s">
        <v>84</v>
      </c>
      <c r="D1069" s="60">
        <v>1.0</v>
      </c>
      <c r="E1069" s="60">
        <v>1.0</v>
      </c>
      <c r="F1069" s="60">
        <v>1.0</v>
      </c>
      <c r="G1069" s="118" t="s">
        <v>597</v>
      </c>
      <c r="H1069" s="116"/>
      <c r="I1069" s="116"/>
    </row>
    <row r="1070">
      <c r="A1070" s="117">
        <v>46010.94533184028</v>
      </c>
      <c r="B1070" s="60" t="s">
        <v>392</v>
      </c>
      <c r="C1070" s="60" t="s">
        <v>212</v>
      </c>
      <c r="D1070" s="60">
        <v>0.33</v>
      </c>
      <c r="E1070" s="60">
        <v>10.0</v>
      </c>
      <c r="F1070" s="60">
        <v>3.3</v>
      </c>
      <c r="G1070" s="118" t="s">
        <v>597</v>
      </c>
      <c r="H1070" s="116"/>
      <c r="I1070" s="116"/>
    </row>
    <row r="1071">
      <c r="A1071" s="117">
        <v>46010.94533184028</v>
      </c>
      <c r="B1071" s="60" t="s">
        <v>395</v>
      </c>
      <c r="C1071" s="60" t="s">
        <v>429</v>
      </c>
      <c r="D1071" s="60">
        <v>10.0</v>
      </c>
      <c r="E1071" s="60">
        <v>1.5</v>
      </c>
      <c r="F1071" s="60">
        <v>15.0</v>
      </c>
      <c r="G1071" s="118" t="s">
        <v>597</v>
      </c>
      <c r="H1071" s="116"/>
      <c r="I1071" s="116"/>
    </row>
    <row r="1072">
      <c r="A1072" s="117">
        <v>46010.94533184028</v>
      </c>
      <c r="B1072" s="60" t="s">
        <v>395</v>
      </c>
      <c r="C1072" s="60" t="s">
        <v>205</v>
      </c>
      <c r="D1072" s="60">
        <v>0.08</v>
      </c>
      <c r="E1072" s="60">
        <v>40.0</v>
      </c>
      <c r="F1072" s="60">
        <v>3.2</v>
      </c>
      <c r="G1072" s="118" t="s">
        <v>597</v>
      </c>
      <c r="H1072" s="116"/>
      <c r="I1072" s="116"/>
    </row>
    <row r="1073">
      <c r="A1073" s="117">
        <v>46010.94533184028</v>
      </c>
      <c r="B1073" s="60" t="s">
        <v>395</v>
      </c>
      <c r="C1073" s="60" t="s">
        <v>444</v>
      </c>
      <c r="D1073" s="60">
        <v>0.07</v>
      </c>
      <c r="E1073" s="60">
        <v>21.4</v>
      </c>
      <c r="F1073" s="60">
        <v>1.5</v>
      </c>
      <c r="G1073" s="118" t="s">
        <v>597</v>
      </c>
      <c r="H1073" s="116"/>
      <c r="I1073" s="116"/>
    </row>
    <row r="1074">
      <c r="A1074" s="117">
        <v>46010.94533184028</v>
      </c>
      <c r="B1074" s="60" t="s">
        <v>395</v>
      </c>
      <c r="C1074" s="60" t="s">
        <v>598</v>
      </c>
      <c r="D1074" s="60">
        <v>0.2</v>
      </c>
      <c r="E1074" s="60">
        <v>7.0</v>
      </c>
      <c r="F1074" s="60">
        <v>1.4</v>
      </c>
      <c r="G1074" s="118" t="s">
        <v>597</v>
      </c>
      <c r="H1074" s="116"/>
      <c r="I1074" s="116"/>
    </row>
    <row r="1075">
      <c r="A1075" s="117">
        <v>46010.94533184028</v>
      </c>
      <c r="B1075" s="60" t="s">
        <v>395</v>
      </c>
      <c r="C1075" s="60" t="s">
        <v>340</v>
      </c>
      <c r="D1075" s="60">
        <v>0.02</v>
      </c>
      <c r="E1075" s="60">
        <v>0.0</v>
      </c>
      <c r="F1075" s="60">
        <v>0.0</v>
      </c>
      <c r="G1075" s="118" t="s">
        <v>597</v>
      </c>
      <c r="H1075" s="116"/>
      <c r="I1075" s="116"/>
    </row>
    <row r="1076">
      <c r="A1076" s="117">
        <v>46009.94545233797</v>
      </c>
      <c r="B1076" s="60" t="s">
        <v>392</v>
      </c>
      <c r="C1076" s="60" t="s">
        <v>429</v>
      </c>
      <c r="D1076" s="60">
        <v>10.0</v>
      </c>
      <c r="E1076" s="60">
        <v>1.5</v>
      </c>
      <c r="F1076" s="60">
        <v>15.0</v>
      </c>
      <c r="G1076" s="118" t="s">
        <v>599</v>
      </c>
      <c r="H1076" s="116"/>
      <c r="I1076" s="116"/>
    </row>
    <row r="1077">
      <c r="A1077" s="117">
        <v>46009.94545233797</v>
      </c>
      <c r="B1077" s="60" t="s">
        <v>392</v>
      </c>
      <c r="C1077" s="60" t="s">
        <v>233</v>
      </c>
      <c r="D1077" s="60">
        <v>0.13</v>
      </c>
      <c r="E1077" s="60">
        <v>16.0</v>
      </c>
      <c r="F1077" s="60">
        <v>2.08</v>
      </c>
      <c r="G1077" s="118" t="s">
        <v>599</v>
      </c>
      <c r="H1077" s="116"/>
      <c r="I1077" s="116"/>
    </row>
    <row r="1078">
      <c r="A1078" s="117">
        <v>46009.94545233797</v>
      </c>
      <c r="B1078" s="60" t="s">
        <v>392</v>
      </c>
      <c r="C1078" s="60" t="s">
        <v>84</v>
      </c>
      <c r="D1078" s="60">
        <v>1.0</v>
      </c>
      <c r="E1078" s="60">
        <v>1.0</v>
      </c>
      <c r="F1078" s="60">
        <v>1.0</v>
      </c>
      <c r="G1078" s="118" t="s">
        <v>599</v>
      </c>
      <c r="H1078" s="116"/>
      <c r="I1078" s="116"/>
    </row>
    <row r="1079">
      <c r="A1079" s="117">
        <v>46009.94545233797</v>
      </c>
      <c r="B1079" s="60" t="s">
        <v>392</v>
      </c>
      <c r="C1079" s="60" t="s">
        <v>325</v>
      </c>
      <c r="D1079" s="60">
        <v>0.05</v>
      </c>
      <c r="E1079" s="60">
        <v>60.0</v>
      </c>
      <c r="F1079" s="60">
        <v>3.0</v>
      </c>
      <c r="G1079" s="118" t="s">
        <v>599</v>
      </c>
      <c r="H1079" s="116"/>
      <c r="I1079" s="116"/>
    </row>
    <row r="1080">
      <c r="A1080" s="117">
        <v>46009.94545233797</v>
      </c>
      <c r="B1080" s="60" t="s">
        <v>392</v>
      </c>
      <c r="C1080" s="60" t="s">
        <v>89</v>
      </c>
      <c r="D1080" s="60">
        <v>0.13</v>
      </c>
      <c r="E1080" s="60">
        <v>50.0</v>
      </c>
      <c r="F1080" s="60">
        <v>6.5</v>
      </c>
      <c r="G1080" s="118" t="s">
        <v>599</v>
      </c>
      <c r="H1080" s="116"/>
      <c r="I1080" s="116"/>
    </row>
    <row r="1081">
      <c r="A1081" s="117">
        <v>46009.94545233797</v>
      </c>
      <c r="B1081" s="60" t="s">
        <v>394</v>
      </c>
      <c r="C1081" s="60" t="s">
        <v>470</v>
      </c>
      <c r="D1081" s="60">
        <v>7.0</v>
      </c>
      <c r="E1081" s="60">
        <v>1.0</v>
      </c>
      <c r="F1081" s="60">
        <v>7.0</v>
      </c>
      <c r="G1081" s="118" t="s">
        <v>599</v>
      </c>
      <c r="H1081" s="116"/>
      <c r="I1081" s="116"/>
    </row>
    <row r="1082">
      <c r="A1082" s="117">
        <v>46009.94545233797</v>
      </c>
      <c r="B1082" s="60" t="s">
        <v>394</v>
      </c>
      <c r="C1082" s="60" t="s">
        <v>111</v>
      </c>
      <c r="D1082" s="60">
        <v>0.12</v>
      </c>
      <c r="E1082" s="60">
        <v>41.7</v>
      </c>
      <c r="F1082" s="60">
        <v>5.0</v>
      </c>
      <c r="G1082" s="118" t="s">
        <v>599</v>
      </c>
      <c r="H1082" s="116"/>
      <c r="I1082" s="116"/>
    </row>
    <row r="1083">
      <c r="A1083" s="117">
        <v>46009.94545233797</v>
      </c>
      <c r="B1083" s="60" t="s">
        <v>395</v>
      </c>
      <c r="C1083" s="60" t="s">
        <v>438</v>
      </c>
      <c r="D1083" s="60">
        <v>0.0</v>
      </c>
      <c r="E1083" s="60">
        <v>365.0</v>
      </c>
      <c r="F1083" s="60">
        <v>0.0</v>
      </c>
      <c r="G1083" s="118" t="s">
        <v>599</v>
      </c>
      <c r="H1083" s="116"/>
      <c r="I1083" s="116"/>
    </row>
    <row r="1084">
      <c r="A1084" s="117">
        <v>46009.94545233797</v>
      </c>
      <c r="B1084" s="60" t="s">
        <v>395</v>
      </c>
      <c r="C1084" s="60" t="s">
        <v>429</v>
      </c>
      <c r="D1084" s="60">
        <v>10.0</v>
      </c>
      <c r="E1084" s="60">
        <v>1.0</v>
      </c>
      <c r="F1084" s="60">
        <v>10.0</v>
      </c>
      <c r="G1084" s="118" t="s">
        <v>599</v>
      </c>
      <c r="H1084" s="116"/>
      <c r="I1084" s="116"/>
    </row>
    <row r="1085">
      <c r="A1085" s="117">
        <v>46009.94545233797</v>
      </c>
      <c r="B1085" s="60" t="s">
        <v>395</v>
      </c>
      <c r="C1085" s="60" t="s">
        <v>443</v>
      </c>
      <c r="D1085" s="60">
        <v>0.15</v>
      </c>
      <c r="E1085" s="60">
        <v>5.0</v>
      </c>
      <c r="F1085" s="60">
        <v>0.75</v>
      </c>
      <c r="G1085" s="118" t="s">
        <v>599</v>
      </c>
      <c r="H1085" s="116"/>
      <c r="I1085" s="116"/>
    </row>
    <row r="1086">
      <c r="A1086" s="117">
        <v>46009.94545233797</v>
      </c>
      <c r="B1086" s="60" t="s">
        <v>395</v>
      </c>
      <c r="C1086" s="60" t="s">
        <v>152</v>
      </c>
      <c r="D1086" s="60">
        <v>0.0</v>
      </c>
      <c r="E1086" s="60">
        <v>2.0</v>
      </c>
      <c r="F1086" s="60">
        <v>0.0</v>
      </c>
      <c r="G1086" s="118" t="s">
        <v>599</v>
      </c>
      <c r="H1086" s="116"/>
      <c r="I1086" s="116"/>
    </row>
    <row r="1087">
      <c r="A1087" s="117">
        <v>46009.94545233797</v>
      </c>
      <c r="B1087" s="60" t="s">
        <v>395</v>
      </c>
      <c r="C1087" s="60" t="s">
        <v>444</v>
      </c>
      <c r="D1087" s="60">
        <v>0.05</v>
      </c>
      <c r="E1087" s="60">
        <v>49.0</v>
      </c>
      <c r="F1087" s="60">
        <v>2.45</v>
      </c>
      <c r="G1087" s="118" t="s">
        <v>599</v>
      </c>
      <c r="H1087" s="116"/>
      <c r="I1087" s="116"/>
    </row>
    <row r="1088">
      <c r="A1088" s="117">
        <v>46008.94542430555</v>
      </c>
      <c r="B1088" s="60" t="s">
        <v>392</v>
      </c>
      <c r="C1088" s="60" t="s">
        <v>170</v>
      </c>
      <c r="D1088" s="60">
        <v>0.0</v>
      </c>
      <c r="E1088" s="60">
        <v>2.5</v>
      </c>
      <c r="F1088" s="60">
        <v>0.0</v>
      </c>
      <c r="G1088" s="118" t="s">
        <v>600</v>
      </c>
      <c r="H1088" s="116"/>
      <c r="I1088" s="116"/>
    </row>
    <row r="1089">
      <c r="A1089" s="117">
        <v>46008.94542430555</v>
      </c>
      <c r="B1089" s="60" t="s">
        <v>392</v>
      </c>
      <c r="C1089" s="60" t="s">
        <v>212</v>
      </c>
      <c r="D1089" s="60">
        <v>0.33</v>
      </c>
      <c r="E1089" s="60">
        <v>10.0</v>
      </c>
      <c r="F1089" s="60">
        <v>3.3</v>
      </c>
      <c r="G1089" s="118" t="s">
        <v>600</v>
      </c>
      <c r="H1089" s="116"/>
      <c r="I1089" s="116"/>
    </row>
    <row r="1090">
      <c r="A1090" s="117">
        <v>46008.94542430555</v>
      </c>
      <c r="B1090" s="60" t="s">
        <v>392</v>
      </c>
      <c r="C1090" s="60" t="s">
        <v>429</v>
      </c>
      <c r="D1090" s="60">
        <v>10.0</v>
      </c>
      <c r="E1090" s="60">
        <v>1.0</v>
      </c>
      <c r="F1090" s="60">
        <v>10.0</v>
      </c>
      <c r="G1090" s="118" t="s">
        <v>600</v>
      </c>
      <c r="H1090" s="116"/>
      <c r="I1090" s="116"/>
    </row>
    <row r="1091">
      <c r="A1091" s="117">
        <v>46008.94542430555</v>
      </c>
      <c r="B1091" s="60" t="s">
        <v>392</v>
      </c>
      <c r="C1091" s="60" t="s">
        <v>125</v>
      </c>
      <c r="D1091" s="60">
        <v>0.08</v>
      </c>
      <c r="E1091" s="60">
        <v>50.0</v>
      </c>
      <c r="F1091" s="60">
        <v>4.0</v>
      </c>
      <c r="G1091" s="118" t="s">
        <v>600</v>
      </c>
      <c r="H1091" s="116"/>
      <c r="I1091" s="116"/>
    </row>
    <row r="1092">
      <c r="A1092" s="117">
        <v>46008.94542430555</v>
      </c>
      <c r="B1092" s="60" t="s">
        <v>392</v>
      </c>
      <c r="C1092" s="60" t="s">
        <v>84</v>
      </c>
      <c r="D1092" s="60">
        <v>1.0</v>
      </c>
      <c r="E1092" s="60">
        <v>1.0</v>
      </c>
      <c r="F1092" s="60">
        <v>1.0</v>
      </c>
      <c r="G1092" s="118" t="s">
        <v>600</v>
      </c>
      <c r="H1092" s="116"/>
      <c r="I1092" s="116"/>
    </row>
    <row r="1093">
      <c r="A1093" s="117">
        <v>46008.94542430555</v>
      </c>
      <c r="B1093" s="60" t="s">
        <v>395</v>
      </c>
      <c r="C1093" s="60" t="s">
        <v>89</v>
      </c>
      <c r="D1093" s="60">
        <v>0.13</v>
      </c>
      <c r="E1093" s="60">
        <v>165.0</v>
      </c>
      <c r="F1093" s="60">
        <v>21.45</v>
      </c>
      <c r="G1093" s="118" t="s">
        <v>600</v>
      </c>
      <c r="H1093" s="116"/>
      <c r="I1093" s="116"/>
    </row>
    <row r="1094">
      <c r="A1094" s="117">
        <v>46008.94542430555</v>
      </c>
      <c r="B1094" s="60" t="s">
        <v>395</v>
      </c>
      <c r="C1094" s="60" t="s">
        <v>104</v>
      </c>
      <c r="D1094" s="60">
        <v>0.05</v>
      </c>
      <c r="E1094" s="60">
        <v>150.0</v>
      </c>
      <c r="F1094" s="60">
        <v>7.5</v>
      </c>
      <c r="G1094" s="118" t="s">
        <v>600</v>
      </c>
      <c r="H1094" s="116"/>
      <c r="I1094" s="116"/>
    </row>
    <row r="1095">
      <c r="A1095" s="117">
        <v>46008.94542430555</v>
      </c>
      <c r="B1095" s="60" t="s">
        <v>395</v>
      </c>
      <c r="C1095" s="60" t="s">
        <v>163</v>
      </c>
      <c r="D1095" s="60">
        <v>0.03</v>
      </c>
      <c r="E1095" s="60">
        <v>118.0</v>
      </c>
      <c r="F1095" s="60">
        <v>3.54</v>
      </c>
      <c r="G1095" s="118" t="s">
        <v>600</v>
      </c>
      <c r="H1095" s="116"/>
      <c r="I1095" s="116"/>
    </row>
    <row r="1096">
      <c r="A1096" s="117">
        <v>46008.94542430555</v>
      </c>
      <c r="B1096" s="60" t="s">
        <v>395</v>
      </c>
      <c r="C1096" s="60" t="s">
        <v>352</v>
      </c>
      <c r="D1096" s="60">
        <v>0.0</v>
      </c>
      <c r="E1096" s="60">
        <v>31.0</v>
      </c>
      <c r="F1096" s="60">
        <v>0.0</v>
      </c>
      <c r="G1096" s="118" t="s">
        <v>600</v>
      </c>
      <c r="H1096" s="116"/>
      <c r="I1096" s="116"/>
    </row>
    <row r="1097">
      <c r="A1097" s="117">
        <v>46008.94542430555</v>
      </c>
      <c r="B1097" s="60" t="s">
        <v>395</v>
      </c>
      <c r="C1097" s="60" t="s">
        <v>222</v>
      </c>
      <c r="D1097" s="60">
        <v>0.02</v>
      </c>
      <c r="E1097" s="60">
        <v>366.0</v>
      </c>
      <c r="F1097" s="60">
        <v>7.32</v>
      </c>
      <c r="G1097" s="118" t="s">
        <v>600</v>
      </c>
      <c r="H1097" s="116"/>
      <c r="I1097" s="116"/>
    </row>
    <row r="1098">
      <c r="A1098" s="117">
        <v>46008.94542430555</v>
      </c>
      <c r="B1098" s="60" t="s">
        <v>395</v>
      </c>
      <c r="C1098" s="60" t="s">
        <v>213</v>
      </c>
      <c r="D1098" s="60">
        <v>0.0</v>
      </c>
      <c r="E1098" s="60">
        <v>99.0</v>
      </c>
      <c r="F1098" s="60">
        <v>0.0</v>
      </c>
      <c r="G1098" s="118" t="s">
        <v>600</v>
      </c>
      <c r="H1098" s="116"/>
      <c r="I1098" s="116"/>
    </row>
    <row r="1099">
      <c r="A1099" s="117">
        <v>46008.94542430555</v>
      </c>
      <c r="B1099" s="60" t="s">
        <v>395</v>
      </c>
      <c r="C1099" s="60" t="s">
        <v>542</v>
      </c>
      <c r="D1099" s="60">
        <v>1.0</v>
      </c>
      <c r="E1099" s="60">
        <v>4.0</v>
      </c>
      <c r="F1099" s="60">
        <v>4.0</v>
      </c>
      <c r="G1099" s="118" t="s">
        <v>600</v>
      </c>
      <c r="H1099" s="116"/>
      <c r="I1099" s="116"/>
    </row>
    <row r="1100">
      <c r="A1100" s="117">
        <v>46008.94542430555</v>
      </c>
      <c r="B1100" s="60" t="s">
        <v>395</v>
      </c>
      <c r="C1100" s="60" t="s">
        <v>601</v>
      </c>
      <c r="D1100" s="60">
        <v>0.16</v>
      </c>
      <c r="E1100" s="60">
        <v>125.0</v>
      </c>
      <c r="F1100" s="60">
        <v>20.0</v>
      </c>
      <c r="G1100" s="118" t="s">
        <v>600</v>
      </c>
      <c r="H1100" s="116"/>
      <c r="I1100" s="116"/>
    </row>
    <row r="1101">
      <c r="A1101" s="117">
        <v>46008.94542430555</v>
      </c>
      <c r="B1101" s="60" t="s">
        <v>395</v>
      </c>
      <c r="C1101" s="60" t="s">
        <v>602</v>
      </c>
      <c r="D1101" s="60">
        <v>1.0</v>
      </c>
      <c r="E1101" s="60">
        <v>119.0</v>
      </c>
      <c r="F1101" s="60">
        <v>7.18</v>
      </c>
      <c r="G1101" s="118" t="s">
        <v>600</v>
      </c>
      <c r="H1101" s="116"/>
      <c r="I1101" s="116"/>
    </row>
    <row r="1102">
      <c r="A1102" s="117">
        <v>46008.94542430555</v>
      </c>
      <c r="B1102" s="60" t="s">
        <v>395</v>
      </c>
      <c r="C1102" s="60" t="s">
        <v>429</v>
      </c>
      <c r="D1102" s="60">
        <v>10.0</v>
      </c>
      <c r="E1102" s="60">
        <v>1.0</v>
      </c>
      <c r="F1102" s="60">
        <v>10.0</v>
      </c>
      <c r="G1102" s="118" t="s">
        <v>600</v>
      </c>
      <c r="H1102" s="116"/>
      <c r="I1102" s="116"/>
    </row>
    <row r="1103">
      <c r="A1103" s="117">
        <v>46008.94542430555</v>
      </c>
      <c r="B1103" s="60" t="s">
        <v>395</v>
      </c>
      <c r="C1103" s="60" t="s">
        <v>294</v>
      </c>
      <c r="D1103" s="60">
        <v>0.05</v>
      </c>
      <c r="E1103" s="60">
        <v>50.0</v>
      </c>
      <c r="F1103" s="60">
        <v>2.5</v>
      </c>
      <c r="G1103" s="118" t="s">
        <v>600</v>
      </c>
      <c r="H1103" s="116"/>
      <c r="I1103" s="116"/>
    </row>
    <row r="1104">
      <c r="A1104" s="117">
        <v>46007.945462222226</v>
      </c>
      <c r="B1104" s="60" t="s">
        <v>392</v>
      </c>
      <c r="C1104" s="60" t="s">
        <v>429</v>
      </c>
      <c r="D1104" s="60">
        <v>10.0</v>
      </c>
      <c r="E1104" s="60">
        <v>1.5</v>
      </c>
      <c r="F1104" s="60">
        <v>15.0</v>
      </c>
      <c r="G1104" s="118" t="s">
        <v>603</v>
      </c>
      <c r="H1104" s="116"/>
      <c r="I1104" s="116"/>
    </row>
    <row r="1105">
      <c r="A1105" s="117">
        <v>46007.945462222226</v>
      </c>
      <c r="B1105" s="60" t="s">
        <v>392</v>
      </c>
      <c r="C1105" s="60" t="s">
        <v>233</v>
      </c>
      <c r="D1105" s="60">
        <v>0.13</v>
      </c>
      <c r="E1105" s="60">
        <v>16.0</v>
      </c>
      <c r="F1105" s="60">
        <v>2.08</v>
      </c>
      <c r="G1105" s="118" t="s">
        <v>603</v>
      </c>
      <c r="H1105" s="116"/>
      <c r="I1105" s="116"/>
    </row>
    <row r="1106">
      <c r="A1106" s="117">
        <v>46007.945462222226</v>
      </c>
      <c r="B1106" s="60" t="s">
        <v>392</v>
      </c>
      <c r="C1106" s="60" t="s">
        <v>89</v>
      </c>
      <c r="D1106" s="60">
        <v>0.13</v>
      </c>
      <c r="E1106" s="60">
        <v>52.3</v>
      </c>
      <c r="F1106" s="60">
        <v>6.8</v>
      </c>
      <c r="G1106" s="118" t="s">
        <v>603</v>
      </c>
      <c r="H1106" s="116"/>
      <c r="I1106" s="116"/>
    </row>
    <row r="1107">
      <c r="A1107" s="117">
        <v>46007.945462222226</v>
      </c>
      <c r="B1107" s="60" t="s">
        <v>392</v>
      </c>
      <c r="C1107" s="60" t="s">
        <v>294</v>
      </c>
      <c r="D1107" s="60">
        <v>0.05</v>
      </c>
      <c r="E1107" s="60">
        <v>40.0</v>
      </c>
      <c r="F1107" s="60">
        <v>2.0</v>
      </c>
      <c r="G1107" s="118" t="s">
        <v>603</v>
      </c>
      <c r="H1107" s="116"/>
      <c r="I1107" s="116"/>
    </row>
    <row r="1108">
      <c r="A1108" s="117">
        <v>46007.945462222226</v>
      </c>
      <c r="B1108" s="60" t="s">
        <v>392</v>
      </c>
      <c r="C1108" s="60" t="s">
        <v>84</v>
      </c>
      <c r="D1108" s="60">
        <v>1.0</v>
      </c>
      <c r="E1108" s="60">
        <v>1.0</v>
      </c>
      <c r="F1108" s="60">
        <v>1.0</v>
      </c>
      <c r="G1108" s="118" t="s">
        <v>603</v>
      </c>
      <c r="H1108" s="116"/>
      <c r="I1108" s="116"/>
    </row>
    <row r="1109">
      <c r="A1109" s="117">
        <v>46007.945462222226</v>
      </c>
      <c r="B1109" s="60" t="s">
        <v>395</v>
      </c>
      <c r="C1109" s="60" t="s">
        <v>438</v>
      </c>
      <c r="D1109" s="60">
        <v>0.0</v>
      </c>
      <c r="E1109" s="60">
        <v>5000.0</v>
      </c>
      <c r="F1109" s="60">
        <v>0.0</v>
      </c>
      <c r="G1109" s="118" t="s">
        <v>603</v>
      </c>
      <c r="H1109" s="116"/>
      <c r="I1109" s="116"/>
    </row>
    <row r="1110">
      <c r="A1110" s="117">
        <v>46007.945462222226</v>
      </c>
      <c r="B1110" s="60" t="s">
        <v>395</v>
      </c>
      <c r="C1110" s="60" t="s">
        <v>439</v>
      </c>
      <c r="D1110" s="60">
        <v>0.31</v>
      </c>
      <c r="E1110" s="60">
        <v>60.0</v>
      </c>
      <c r="F1110" s="60">
        <v>18.6</v>
      </c>
      <c r="G1110" s="118" t="s">
        <v>603</v>
      </c>
      <c r="H1110" s="116"/>
      <c r="I1110" s="116"/>
    </row>
    <row r="1111">
      <c r="A1111" s="117">
        <v>46007.945462222226</v>
      </c>
      <c r="B1111" s="60" t="s">
        <v>395</v>
      </c>
      <c r="C1111" s="60" t="s">
        <v>444</v>
      </c>
      <c r="D1111" s="60">
        <v>0.05</v>
      </c>
      <c r="E1111" s="60">
        <v>77.0</v>
      </c>
      <c r="F1111" s="60">
        <v>3.85</v>
      </c>
      <c r="G1111" s="118" t="s">
        <v>603</v>
      </c>
      <c r="H1111" s="116"/>
      <c r="I1111" s="116"/>
    </row>
    <row r="1112">
      <c r="A1112" s="117">
        <v>46007.945462222226</v>
      </c>
      <c r="B1112" s="60" t="s">
        <v>395</v>
      </c>
      <c r="C1112" s="60" t="s">
        <v>115</v>
      </c>
      <c r="D1112" s="60">
        <v>0.03</v>
      </c>
      <c r="E1112" s="60">
        <v>50.0</v>
      </c>
      <c r="F1112" s="60">
        <v>1.5</v>
      </c>
      <c r="G1112" s="118" t="s">
        <v>603</v>
      </c>
      <c r="H1112" s="116"/>
      <c r="I1112" s="116"/>
    </row>
    <row r="1113">
      <c r="A1113" s="117">
        <v>46006.945397303236</v>
      </c>
      <c r="B1113" s="60" t="s">
        <v>392</v>
      </c>
      <c r="C1113" s="60" t="s">
        <v>170</v>
      </c>
      <c r="D1113" s="60">
        <v>0.0</v>
      </c>
      <c r="E1113" s="60">
        <v>2.5</v>
      </c>
      <c r="F1113" s="60">
        <v>0.0</v>
      </c>
      <c r="G1113" s="118" t="s">
        <v>604</v>
      </c>
      <c r="H1113" s="116"/>
      <c r="I1113" s="116"/>
    </row>
    <row r="1114">
      <c r="A1114" s="117">
        <v>46006.945397303236</v>
      </c>
      <c r="B1114" s="60" t="s">
        <v>392</v>
      </c>
      <c r="C1114" s="60" t="s">
        <v>212</v>
      </c>
      <c r="D1114" s="60">
        <v>0.33</v>
      </c>
      <c r="E1114" s="60">
        <v>10.0</v>
      </c>
      <c r="F1114" s="60">
        <v>3.3</v>
      </c>
      <c r="G1114" s="118" t="s">
        <v>604</v>
      </c>
      <c r="H1114" s="116"/>
      <c r="I1114" s="116"/>
    </row>
    <row r="1115">
      <c r="A1115" s="117">
        <v>46006.945397303236</v>
      </c>
      <c r="B1115" s="60" t="s">
        <v>392</v>
      </c>
      <c r="C1115" s="60" t="s">
        <v>84</v>
      </c>
      <c r="D1115" s="60">
        <v>1.0</v>
      </c>
      <c r="E1115" s="60">
        <v>1.0</v>
      </c>
      <c r="F1115" s="60">
        <v>1.0</v>
      </c>
      <c r="G1115" s="118" t="s">
        <v>604</v>
      </c>
      <c r="H1115" s="116"/>
      <c r="I1115" s="116"/>
    </row>
    <row r="1116">
      <c r="A1116" s="117">
        <v>46006.945397303236</v>
      </c>
      <c r="B1116" s="60" t="s">
        <v>392</v>
      </c>
      <c r="C1116" s="60" t="s">
        <v>463</v>
      </c>
      <c r="D1116" s="60">
        <v>12.0</v>
      </c>
      <c r="E1116" s="60">
        <v>1.0</v>
      </c>
      <c r="F1116" s="60">
        <v>12.0</v>
      </c>
      <c r="G1116" s="118" t="s">
        <v>604</v>
      </c>
      <c r="H1116" s="116"/>
      <c r="I1116" s="116"/>
    </row>
    <row r="1117">
      <c r="A1117" s="117">
        <v>46006.945397303236</v>
      </c>
      <c r="B1117" s="60" t="s">
        <v>392</v>
      </c>
      <c r="C1117" s="60" t="s">
        <v>280</v>
      </c>
      <c r="D1117" s="60">
        <v>0.13</v>
      </c>
      <c r="E1117" s="60">
        <v>70.0</v>
      </c>
      <c r="F1117" s="60">
        <v>9.1</v>
      </c>
      <c r="G1117" s="118" t="s">
        <v>604</v>
      </c>
      <c r="H1117" s="116"/>
      <c r="I1117" s="116"/>
    </row>
    <row r="1118">
      <c r="A1118" s="117">
        <v>46006.945397303236</v>
      </c>
      <c r="B1118" s="60" t="s">
        <v>395</v>
      </c>
      <c r="C1118" s="60" t="s">
        <v>340</v>
      </c>
      <c r="D1118" s="60">
        <v>0.02</v>
      </c>
      <c r="E1118" s="60">
        <v>655.0</v>
      </c>
      <c r="F1118" s="60">
        <v>13.1</v>
      </c>
      <c r="G1118" s="118" t="s">
        <v>604</v>
      </c>
      <c r="H1118" s="116"/>
      <c r="I1118" s="116"/>
    </row>
    <row r="1119">
      <c r="A1119" s="117">
        <v>46006.945397303236</v>
      </c>
      <c r="B1119" s="60" t="s">
        <v>395</v>
      </c>
      <c r="C1119" s="60" t="s">
        <v>116</v>
      </c>
      <c r="D1119" s="60">
        <v>0.11</v>
      </c>
      <c r="E1119" s="60">
        <v>15.0</v>
      </c>
      <c r="F1119" s="60">
        <v>1.65</v>
      </c>
      <c r="G1119" s="118" t="s">
        <v>604</v>
      </c>
      <c r="H1119" s="116"/>
      <c r="I1119" s="116"/>
    </row>
    <row r="1120">
      <c r="A1120" s="117">
        <v>46006.945397303236</v>
      </c>
      <c r="B1120" s="60" t="s">
        <v>395</v>
      </c>
      <c r="C1120" s="60" t="s">
        <v>250</v>
      </c>
      <c r="D1120" s="60">
        <v>0.0</v>
      </c>
      <c r="E1120" s="60">
        <v>29.0</v>
      </c>
      <c r="F1120" s="60">
        <v>0.0</v>
      </c>
      <c r="G1120" s="118" t="s">
        <v>604</v>
      </c>
      <c r="H1120" s="116"/>
      <c r="I1120" s="116"/>
    </row>
    <row r="1121">
      <c r="A1121" s="117">
        <v>46006.945397303236</v>
      </c>
      <c r="B1121" s="60" t="s">
        <v>395</v>
      </c>
      <c r="C1121" s="60" t="s">
        <v>605</v>
      </c>
      <c r="D1121" s="60">
        <v>0.17</v>
      </c>
      <c r="E1121" s="60">
        <v>30.0</v>
      </c>
      <c r="F1121" s="60">
        <v>5.1</v>
      </c>
      <c r="G1121" s="118" t="s">
        <v>604</v>
      </c>
      <c r="H1121" s="116"/>
      <c r="I1121" s="116"/>
    </row>
    <row r="1122">
      <c r="A1122" s="117">
        <v>46006.945397303236</v>
      </c>
      <c r="B1122" s="60" t="s">
        <v>395</v>
      </c>
      <c r="C1122" s="60" t="s">
        <v>606</v>
      </c>
      <c r="D1122" s="60">
        <v>1.0</v>
      </c>
      <c r="E1122" s="60">
        <v>80.0</v>
      </c>
      <c r="F1122" s="60">
        <v>2.18</v>
      </c>
      <c r="G1122" s="118" t="s">
        <v>604</v>
      </c>
      <c r="H1122" s="116"/>
      <c r="I1122" s="116"/>
    </row>
    <row r="1123">
      <c r="A1123" s="117">
        <v>46006.945397303236</v>
      </c>
      <c r="B1123" s="60" t="s">
        <v>395</v>
      </c>
      <c r="C1123" s="60" t="s">
        <v>468</v>
      </c>
      <c r="D1123" s="60">
        <v>0.27</v>
      </c>
      <c r="E1123" s="60">
        <v>100.0</v>
      </c>
      <c r="F1123" s="60">
        <v>27.0</v>
      </c>
      <c r="G1123" s="118" t="s">
        <v>604</v>
      </c>
      <c r="H1123" s="116"/>
      <c r="I1123" s="116"/>
    </row>
    <row r="1124">
      <c r="A1124" s="117">
        <v>46006.945397303236</v>
      </c>
      <c r="B1124" s="60" t="s">
        <v>395</v>
      </c>
      <c r="C1124" s="60" t="s">
        <v>462</v>
      </c>
      <c r="D1124" s="60">
        <v>0.02</v>
      </c>
      <c r="E1124" s="60">
        <v>85.0</v>
      </c>
      <c r="F1124" s="60">
        <v>1.7</v>
      </c>
      <c r="G1124" s="118" t="s">
        <v>604</v>
      </c>
      <c r="H1124" s="116"/>
      <c r="I1124" s="116"/>
    </row>
    <row r="1125">
      <c r="A1125" s="117">
        <v>46005.94562737268</v>
      </c>
      <c r="B1125" s="60" t="s">
        <v>392</v>
      </c>
      <c r="C1125" s="60" t="s">
        <v>170</v>
      </c>
      <c r="D1125" s="60">
        <v>0.0</v>
      </c>
      <c r="E1125" s="60">
        <v>2.0</v>
      </c>
      <c r="F1125" s="60">
        <v>0.0</v>
      </c>
      <c r="G1125" s="118" t="s">
        <v>607</v>
      </c>
      <c r="H1125" s="116"/>
      <c r="I1125" s="116"/>
    </row>
    <row r="1126">
      <c r="A1126" s="117">
        <v>46005.94562737268</v>
      </c>
      <c r="B1126" s="60" t="s">
        <v>392</v>
      </c>
      <c r="C1126" s="60" t="s">
        <v>212</v>
      </c>
      <c r="D1126" s="60">
        <v>0.33</v>
      </c>
      <c r="E1126" s="60">
        <v>10.0</v>
      </c>
      <c r="F1126" s="60">
        <v>3.3</v>
      </c>
      <c r="G1126" s="118" t="s">
        <v>607</v>
      </c>
      <c r="H1126" s="116"/>
      <c r="I1126" s="116"/>
    </row>
    <row r="1127">
      <c r="A1127" s="117">
        <v>46005.94562737268</v>
      </c>
      <c r="B1127" s="60" t="s">
        <v>392</v>
      </c>
      <c r="C1127" s="60" t="s">
        <v>463</v>
      </c>
      <c r="D1127" s="60">
        <v>12.0</v>
      </c>
      <c r="E1127" s="60">
        <v>1.0</v>
      </c>
      <c r="F1127" s="60">
        <v>12.0</v>
      </c>
      <c r="G1127" s="118" t="s">
        <v>607</v>
      </c>
      <c r="H1127" s="116"/>
      <c r="I1127" s="116"/>
    </row>
    <row r="1128">
      <c r="A1128" s="117">
        <v>46005.94562737268</v>
      </c>
      <c r="B1128" s="60" t="s">
        <v>392</v>
      </c>
      <c r="C1128" s="60" t="s">
        <v>325</v>
      </c>
      <c r="D1128" s="60">
        <v>0.05</v>
      </c>
      <c r="E1128" s="60">
        <v>60.0</v>
      </c>
      <c r="F1128" s="60">
        <v>3.0</v>
      </c>
      <c r="G1128" s="118" t="s">
        <v>607</v>
      </c>
      <c r="H1128" s="116"/>
      <c r="I1128" s="116"/>
    </row>
    <row r="1129">
      <c r="A1129" s="117">
        <v>46005.94562737268</v>
      </c>
      <c r="B1129" s="60" t="s">
        <v>397</v>
      </c>
      <c r="C1129" s="60" t="s">
        <v>608</v>
      </c>
      <c r="D1129" s="60">
        <v>2.0</v>
      </c>
      <c r="E1129" s="60">
        <v>1.0</v>
      </c>
      <c r="F1129" s="60">
        <v>2.0</v>
      </c>
      <c r="G1129" s="118" t="s">
        <v>607</v>
      </c>
      <c r="H1129" s="116"/>
      <c r="I1129" s="116"/>
    </row>
    <row r="1130">
      <c r="A1130" s="117">
        <v>46005.94562737268</v>
      </c>
      <c r="B1130" s="60" t="s">
        <v>397</v>
      </c>
      <c r="C1130" s="60" t="s">
        <v>609</v>
      </c>
      <c r="D1130" s="60">
        <v>20.0</v>
      </c>
      <c r="E1130" s="60">
        <v>1.0</v>
      </c>
      <c r="F1130" s="60">
        <v>20.0</v>
      </c>
      <c r="G1130" s="118" t="s">
        <v>607</v>
      </c>
      <c r="H1130" s="116"/>
      <c r="I1130" s="116"/>
    </row>
    <row r="1131">
      <c r="A1131" s="117">
        <v>46005.94562737268</v>
      </c>
      <c r="B1131" s="60" t="s">
        <v>397</v>
      </c>
      <c r="C1131" s="60" t="s">
        <v>479</v>
      </c>
      <c r="D1131" s="60">
        <v>2.5</v>
      </c>
      <c r="E1131" s="60">
        <v>1.0</v>
      </c>
      <c r="F1131" s="60">
        <v>2.5</v>
      </c>
      <c r="G1131" s="118" t="s">
        <v>607</v>
      </c>
      <c r="H1131" s="116"/>
      <c r="I1131" s="116"/>
    </row>
    <row r="1132">
      <c r="A1132" s="117">
        <v>46005.94562737268</v>
      </c>
      <c r="B1132" s="60" t="s">
        <v>397</v>
      </c>
      <c r="C1132" s="60" t="s">
        <v>328</v>
      </c>
      <c r="D1132" s="60">
        <v>0.07</v>
      </c>
      <c r="E1132" s="60">
        <v>14.3</v>
      </c>
      <c r="F1132" s="60">
        <v>1.0</v>
      </c>
      <c r="G1132" s="118" t="s">
        <v>607</v>
      </c>
      <c r="H1132" s="116"/>
      <c r="I1132" s="116"/>
    </row>
    <row r="1133">
      <c r="A1133" s="117">
        <v>46005.94562737268</v>
      </c>
      <c r="B1133" s="60" t="s">
        <v>395</v>
      </c>
      <c r="C1133" s="60" t="s">
        <v>575</v>
      </c>
      <c r="D1133" s="60">
        <v>0.2</v>
      </c>
      <c r="E1133" s="60">
        <v>70.0</v>
      </c>
      <c r="F1133" s="60">
        <v>14.0</v>
      </c>
      <c r="G1133" s="118" t="s">
        <v>607</v>
      </c>
      <c r="H1133" s="116"/>
      <c r="I1133" s="116"/>
    </row>
    <row r="1134">
      <c r="A1134" s="117">
        <v>46005.94562737268</v>
      </c>
      <c r="B1134" s="60" t="s">
        <v>395</v>
      </c>
      <c r="C1134" s="60" t="s">
        <v>506</v>
      </c>
      <c r="D1134" s="60">
        <v>3.0</v>
      </c>
      <c r="E1134" s="60">
        <v>1.0</v>
      </c>
      <c r="F1134" s="60">
        <v>3.0</v>
      </c>
      <c r="G1134" s="118" t="s">
        <v>607</v>
      </c>
      <c r="H1134" s="116"/>
      <c r="I1134" s="116"/>
    </row>
    <row r="1135">
      <c r="A1135" s="117">
        <v>46005.94562737268</v>
      </c>
      <c r="B1135" s="60" t="s">
        <v>395</v>
      </c>
      <c r="C1135" s="60" t="s">
        <v>205</v>
      </c>
      <c r="D1135" s="60">
        <v>0.08</v>
      </c>
      <c r="E1135" s="60">
        <v>40.0</v>
      </c>
      <c r="F1135" s="60">
        <v>3.2</v>
      </c>
      <c r="G1135" s="118" t="s">
        <v>607</v>
      </c>
      <c r="H1135" s="116"/>
      <c r="I1135" s="116"/>
    </row>
    <row r="1136">
      <c r="A1136" s="117">
        <v>46005.94562737268</v>
      </c>
      <c r="B1136" s="60" t="s">
        <v>395</v>
      </c>
      <c r="C1136" s="60" t="s">
        <v>245</v>
      </c>
      <c r="D1136" s="60">
        <v>0.06</v>
      </c>
      <c r="E1136" s="60">
        <v>38.3</v>
      </c>
      <c r="F1136" s="60">
        <v>2.3</v>
      </c>
      <c r="G1136" s="118" t="s">
        <v>607</v>
      </c>
      <c r="H1136" s="116"/>
      <c r="I1136" s="116"/>
    </row>
    <row r="1137">
      <c r="A1137" s="117">
        <v>46004.94541310185</v>
      </c>
      <c r="B1137" s="60" t="s">
        <v>392</v>
      </c>
      <c r="C1137" s="60" t="s">
        <v>170</v>
      </c>
      <c r="D1137" s="60">
        <v>0.0</v>
      </c>
      <c r="E1137" s="60">
        <v>2.5</v>
      </c>
      <c r="F1137" s="60">
        <v>0.0</v>
      </c>
      <c r="G1137" s="118" t="s">
        <v>610</v>
      </c>
      <c r="H1137" s="116"/>
      <c r="I1137" s="116"/>
    </row>
    <row r="1138">
      <c r="A1138" s="117">
        <v>46004.94541310185</v>
      </c>
      <c r="B1138" s="60" t="s">
        <v>392</v>
      </c>
      <c r="C1138" s="60" t="s">
        <v>429</v>
      </c>
      <c r="D1138" s="60">
        <v>10.0</v>
      </c>
      <c r="E1138" s="60">
        <v>1.0</v>
      </c>
      <c r="F1138" s="60">
        <v>10.0</v>
      </c>
      <c r="G1138" s="118" t="s">
        <v>610</v>
      </c>
      <c r="H1138" s="116"/>
      <c r="I1138" s="116"/>
    </row>
    <row r="1139">
      <c r="A1139" s="117">
        <v>46004.94541310185</v>
      </c>
      <c r="B1139" s="60" t="s">
        <v>392</v>
      </c>
      <c r="C1139" s="60" t="s">
        <v>111</v>
      </c>
      <c r="D1139" s="60">
        <v>0.12</v>
      </c>
      <c r="E1139" s="60">
        <v>40.0</v>
      </c>
      <c r="F1139" s="60">
        <v>4.8</v>
      </c>
      <c r="G1139" s="118" t="s">
        <v>610</v>
      </c>
      <c r="H1139" s="116"/>
      <c r="I1139" s="116"/>
    </row>
    <row r="1140">
      <c r="A1140" s="117">
        <v>46004.94541310185</v>
      </c>
      <c r="B1140" s="60" t="s">
        <v>392</v>
      </c>
      <c r="C1140" s="60" t="s">
        <v>328</v>
      </c>
      <c r="D1140" s="60">
        <v>0.07</v>
      </c>
      <c r="E1140" s="60">
        <v>14.3</v>
      </c>
      <c r="F1140" s="60">
        <v>1.0</v>
      </c>
      <c r="G1140" s="118" t="s">
        <v>610</v>
      </c>
      <c r="H1140" s="116"/>
      <c r="I1140" s="116"/>
    </row>
    <row r="1141">
      <c r="A1141" s="117">
        <v>46004.94541310185</v>
      </c>
      <c r="B1141" s="60" t="s">
        <v>392</v>
      </c>
      <c r="C1141" s="60" t="s">
        <v>84</v>
      </c>
      <c r="D1141" s="60">
        <v>1.0</v>
      </c>
      <c r="E1141" s="60">
        <v>1.0</v>
      </c>
      <c r="F1141" s="60">
        <v>1.0</v>
      </c>
      <c r="G1141" s="118" t="s">
        <v>610</v>
      </c>
      <c r="H1141" s="116"/>
      <c r="I1141" s="116"/>
    </row>
    <row r="1142">
      <c r="A1142" s="117">
        <v>46004.94541310185</v>
      </c>
      <c r="B1142" s="60" t="s">
        <v>397</v>
      </c>
      <c r="C1142" s="60" t="s">
        <v>429</v>
      </c>
      <c r="D1142" s="60">
        <v>10.0</v>
      </c>
      <c r="E1142" s="60">
        <v>1.0</v>
      </c>
      <c r="F1142" s="60">
        <v>10.0</v>
      </c>
      <c r="G1142" s="118" t="s">
        <v>610</v>
      </c>
      <c r="H1142" s="116"/>
      <c r="I1142" s="116"/>
    </row>
    <row r="1143">
      <c r="A1143" s="117">
        <v>46004.94541310185</v>
      </c>
      <c r="B1143" s="60" t="s">
        <v>397</v>
      </c>
      <c r="C1143" s="60" t="s">
        <v>233</v>
      </c>
      <c r="D1143" s="60">
        <v>0.13</v>
      </c>
      <c r="E1143" s="60">
        <v>10.0</v>
      </c>
      <c r="F1143" s="60">
        <v>1.3</v>
      </c>
      <c r="G1143" s="118" t="s">
        <v>610</v>
      </c>
      <c r="H1143" s="116"/>
      <c r="I1143" s="116"/>
    </row>
    <row r="1144">
      <c r="A1144" s="117">
        <v>46004.94541310185</v>
      </c>
      <c r="B1144" s="60" t="s">
        <v>397</v>
      </c>
      <c r="C1144" s="60" t="s">
        <v>325</v>
      </c>
      <c r="D1144" s="60">
        <v>0.05</v>
      </c>
      <c r="E1144" s="60">
        <v>60.0</v>
      </c>
      <c r="F1144" s="60">
        <v>3.0</v>
      </c>
      <c r="G1144" s="118" t="s">
        <v>610</v>
      </c>
      <c r="H1144" s="116"/>
      <c r="I1144" s="116"/>
    </row>
    <row r="1145">
      <c r="A1145" s="117">
        <v>46004.94541310185</v>
      </c>
      <c r="B1145" s="60" t="s">
        <v>395</v>
      </c>
      <c r="C1145" s="60" t="s">
        <v>447</v>
      </c>
      <c r="D1145" s="60">
        <v>0.3</v>
      </c>
      <c r="E1145" s="60">
        <v>231.0</v>
      </c>
      <c r="F1145" s="60">
        <v>69.3</v>
      </c>
      <c r="G1145" s="118" t="s">
        <v>610</v>
      </c>
      <c r="H1145" s="116"/>
      <c r="I1145" s="116"/>
    </row>
    <row r="1146">
      <c r="A1146" s="117">
        <v>46004.94541310185</v>
      </c>
      <c r="B1146" s="60" t="s">
        <v>395</v>
      </c>
      <c r="C1146" s="60" t="s">
        <v>104</v>
      </c>
      <c r="D1146" s="60">
        <v>0.05</v>
      </c>
      <c r="E1146" s="60">
        <v>165.0</v>
      </c>
      <c r="F1146" s="60">
        <v>8.25</v>
      </c>
      <c r="G1146" s="118" t="s">
        <v>610</v>
      </c>
      <c r="H1146" s="116"/>
      <c r="I1146" s="116"/>
    </row>
    <row r="1147">
      <c r="A1147" s="117">
        <v>46004.94541310185</v>
      </c>
      <c r="B1147" s="60" t="s">
        <v>395</v>
      </c>
      <c r="C1147" s="60" t="s">
        <v>163</v>
      </c>
      <c r="D1147" s="60">
        <v>0.03</v>
      </c>
      <c r="E1147" s="60">
        <v>109.99</v>
      </c>
      <c r="F1147" s="60">
        <v>3.3</v>
      </c>
      <c r="G1147" s="118" t="s">
        <v>610</v>
      </c>
      <c r="H1147" s="116"/>
      <c r="I1147" s="116"/>
    </row>
    <row r="1148">
      <c r="A1148" s="117">
        <v>46004.94541310185</v>
      </c>
      <c r="B1148" s="60" t="s">
        <v>395</v>
      </c>
      <c r="C1148" s="60" t="s">
        <v>213</v>
      </c>
      <c r="D1148" s="60">
        <v>0.0</v>
      </c>
      <c r="E1148" s="60">
        <v>43.0</v>
      </c>
      <c r="F1148" s="60">
        <v>0.0</v>
      </c>
      <c r="G1148" s="118" t="s">
        <v>610</v>
      </c>
      <c r="H1148" s="116"/>
      <c r="I1148" s="116"/>
    </row>
    <row r="1149">
      <c r="A1149" s="117">
        <v>46004.94541310185</v>
      </c>
      <c r="B1149" s="60" t="s">
        <v>395</v>
      </c>
      <c r="C1149" s="60" t="s">
        <v>542</v>
      </c>
      <c r="D1149" s="60">
        <v>1.0</v>
      </c>
      <c r="E1149" s="60">
        <v>1.49</v>
      </c>
      <c r="F1149" s="60">
        <v>1.49</v>
      </c>
      <c r="G1149" s="118" t="s">
        <v>610</v>
      </c>
      <c r="H1149" s="116"/>
      <c r="I1149" s="116"/>
    </row>
    <row r="1150">
      <c r="A1150" s="117">
        <v>46004.94541310185</v>
      </c>
      <c r="B1150" s="60" t="s">
        <v>395</v>
      </c>
      <c r="C1150" s="60" t="s">
        <v>611</v>
      </c>
      <c r="D1150" s="60">
        <v>1.0</v>
      </c>
      <c r="E1150" s="60">
        <v>110.0</v>
      </c>
      <c r="F1150" s="60">
        <v>16.45</v>
      </c>
      <c r="G1150" s="118" t="s">
        <v>610</v>
      </c>
      <c r="H1150" s="116"/>
      <c r="I1150" s="116"/>
    </row>
    <row r="1151">
      <c r="A1151" s="117">
        <v>46004.94541310185</v>
      </c>
      <c r="B1151" s="60" t="s">
        <v>395</v>
      </c>
      <c r="C1151" s="60" t="s">
        <v>306</v>
      </c>
      <c r="D1151" s="60">
        <v>0.04</v>
      </c>
      <c r="E1151" s="60">
        <v>55.0</v>
      </c>
      <c r="F1151" s="60">
        <v>2.2</v>
      </c>
      <c r="G1151" s="118" t="s">
        <v>610</v>
      </c>
      <c r="H1151" s="116"/>
      <c r="I1151" s="116"/>
    </row>
    <row r="1152">
      <c r="A1152" s="117">
        <v>46004.94541310185</v>
      </c>
      <c r="B1152" s="60" t="s">
        <v>395</v>
      </c>
      <c r="C1152" s="60" t="s">
        <v>443</v>
      </c>
      <c r="D1152" s="60">
        <v>0.15</v>
      </c>
      <c r="E1152" s="60">
        <v>5.0</v>
      </c>
      <c r="F1152" s="60">
        <v>0.75</v>
      </c>
      <c r="G1152" s="118" t="s">
        <v>610</v>
      </c>
      <c r="H1152" s="116"/>
      <c r="I1152" s="116"/>
    </row>
    <row r="1153">
      <c r="A1153" s="117">
        <v>46003.94542377315</v>
      </c>
      <c r="B1153" s="60" t="s">
        <v>392</v>
      </c>
      <c r="C1153" s="60" t="s">
        <v>429</v>
      </c>
      <c r="D1153" s="60">
        <v>10.0</v>
      </c>
      <c r="E1153" s="60">
        <v>1.5</v>
      </c>
      <c r="F1153" s="60">
        <v>15.0</v>
      </c>
      <c r="G1153" s="118" t="s">
        <v>612</v>
      </c>
      <c r="H1153" s="116"/>
      <c r="I1153" s="116"/>
    </row>
    <row r="1154">
      <c r="A1154" s="117">
        <v>46003.94542377315</v>
      </c>
      <c r="B1154" s="60" t="s">
        <v>392</v>
      </c>
      <c r="C1154" s="60" t="s">
        <v>233</v>
      </c>
      <c r="D1154" s="60">
        <v>0.13</v>
      </c>
      <c r="E1154" s="60">
        <v>12.0</v>
      </c>
      <c r="F1154" s="60">
        <v>1.56</v>
      </c>
      <c r="G1154" s="118" t="s">
        <v>612</v>
      </c>
      <c r="H1154" s="116"/>
      <c r="I1154" s="116"/>
    </row>
    <row r="1155">
      <c r="A1155" s="117">
        <v>46003.94542377315</v>
      </c>
      <c r="B1155" s="60" t="s">
        <v>392</v>
      </c>
      <c r="C1155" s="60" t="s">
        <v>89</v>
      </c>
      <c r="D1155" s="60">
        <v>0.13</v>
      </c>
      <c r="E1155" s="60">
        <v>60.0</v>
      </c>
      <c r="F1155" s="60">
        <v>7.8</v>
      </c>
      <c r="G1155" s="118" t="s">
        <v>612</v>
      </c>
      <c r="H1155" s="116"/>
      <c r="I1155" s="116"/>
    </row>
    <row r="1156">
      <c r="A1156" s="117">
        <v>46003.94542377315</v>
      </c>
      <c r="B1156" s="60" t="s">
        <v>392</v>
      </c>
      <c r="C1156" s="60" t="s">
        <v>84</v>
      </c>
      <c r="D1156" s="60">
        <v>1.0</v>
      </c>
      <c r="E1156" s="60">
        <v>1.0</v>
      </c>
      <c r="F1156" s="60">
        <v>1.0</v>
      </c>
      <c r="G1156" s="118" t="s">
        <v>612</v>
      </c>
      <c r="H1156" s="116"/>
      <c r="I1156" s="116"/>
    </row>
    <row r="1157">
      <c r="A1157" s="117">
        <v>46003.94542377315</v>
      </c>
      <c r="B1157" s="60" t="s">
        <v>392</v>
      </c>
      <c r="C1157" s="60" t="s">
        <v>504</v>
      </c>
      <c r="D1157" s="60">
        <v>5.0</v>
      </c>
      <c r="E1157" s="60">
        <v>1.0</v>
      </c>
      <c r="F1157" s="60">
        <v>5.0</v>
      </c>
      <c r="G1157" s="118" t="s">
        <v>612</v>
      </c>
      <c r="H1157" s="116"/>
      <c r="I1157" s="116"/>
    </row>
    <row r="1158">
      <c r="A1158" s="117">
        <v>46003.94542377315</v>
      </c>
      <c r="B1158" s="60" t="s">
        <v>395</v>
      </c>
      <c r="C1158" s="60" t="s">
        <v>87</v>
      </c>
      <c r="D1158" s="60">
        <v>0.27</v>
      </c>
      <c r="E1158" s="60">
        <v>100.0</v>
      </c>
      <c r="F1158" s="60">
        <v>27.0</v>
      </c>
      <c r="G1158" s="118" t="s">
        <v>612</v>
      </c>
      <c r="H1158" s="116"/>
      <c r="I1158" s="116"/>
    </row>
    <row r="1159">
      <c r="A1159" s="117">
        <v>46003.94542377315</v>
      </c>
      <c r="B1159" s="60" t="s">
        <v>395</v>
      </c>
      <c r="C1159" s="60" t="s">
        <v>328</v>
      </c>
      <c r="D1159" s="60">
        <v>0.07</v>
      </c>
      <c r="E1159" s="60">
        <v>12.0</v>
      </c>
      <c r="F1159" s="60">
        <v>0.84</v>
      </c>
      <c r="G1159" s="118" t="s">
        <v>612</v>
      </c>
      <c r="H1159" s="116"/>
      <c r="I1159" s="116"/>
    </row>
    <row r="1160">
      <c r="A1160" s="117">
        <v>46003.94542377315</v>
      </c>
      <c r="B1160" s="60" t="s">
        <v>395</v>
      </c>
      <c r="C1160" s="60" t="s">
        <v>608</v>
      </c>
      <c r="D1160" s="60">
        <v>2.0</v>
      </c>
      <c r="E1160" s="60">
        <v>2.0</v>
      </c>
      <c r="F1160" s="60">
        <v>4.0</v>
      </c>
      <c r="G1160" s="118" t="s">
        <v>612</v>
      </c>
      <c r="H1160" s="116"/>
      <c r="I1160" s="116"/>
    </row>
    <row r="1161">
      <c r="A1161" s="117">
        <v>46003.94542377315</v>
      </c>
      <c r="B1161" s="60" t="s">
        <v>395</v>
      </c>
      <c r="C1161" s="60" t="s">
        <v>163</v>
      </c>
      <c r="D1161" s="60">
        <v>0.03</v>
      </c>
      <c r="E1161" s="60">
        <v>30.0</v>
      </c>
      <c r="F1161" s="60">
        <v>0.9</v>
      </c>
      <c r="G1161" s="118" t="s">
        <v>612</v>
      </c>
      <c r="H1161" s="116"/>
      <c r="I1161" s="116"/>
    </row>
    <row r="1162">
      <c r="A1162" s="117">
        <v>46003.94542377315</v>
      </c>
      <c r="B1162" s="60" t="s">
        <v>395</v>
      </c>
      <c r="C1162" s="60" t="s">
        <v>205</v>
      </c>
      <c r="D1162" s="60">
        <v>0.08</v>
      </c>
      <c r="E1162" s="60">
        <v>40.0</v>
      </c>
      <c r="F1162" s="60">
        <v>3.2</v>
      </c>
      <c r="G1162" s="118" t="s">
        <v>612</v>
      </c>
    </row>
    <row r="1163">
      <c r="A1163" s="117">
        <v>46002.94533524306</v>
      </c>
      <c r="B1163" s="60" t="s">
        <v>392</v>
      </c>
      <c r="C1163" s="60" t="s">
        <v>170</v>
      </c>
      <c r="D1163" s="60">
        <v>0.0</v>
      </c>
      <c r="E1163" s="60">
        <v>2.5</v>
      </c>
      <c r="F1163" s="60">
        <v>0.0</v>
      </c>
      <c r="G1163" s="118" t="s">
        <v>613</v>
      </c>
    </row>
    <row r="1164">
      <c r="A1164" s="117">
        <v>46002.94533524306</v>
      </c>
      <c r="B1164" s="60" t="s">
        <v>392</v>
      </c>
      <c r="C1164" s="60" t="s">
        <v>212</v>
      </c>
      <c r="D1164" s="60">
        <v>0.33</v>
      </c>
      <c r="E1164" s="60">
        <v>10.0</v>
      </c>
      <c r="F1164" s="60">
        <v>3.3</v>
      </c>
      <c r="G1164" s="118" t="s">
        <v>613</v>
      </c>
    </row>
    <row r="1165">
      <c r="A1165" s="117">
        <v>46002.94533524306</v>
      </c>
      <c r="B1165" s="60" t="s">
        <v>392</v>
      </c>
      <c r="C1165" s="60" t="s">
        <v>280</v>
      </c>
      <c r="D1165" s="60">
        <v>0.13</v>
      </c>
      <c r="E1165" s="60">
        <v>70.0</v>
      </c>
      <c r="F1165" s="60">
        <v>9.1</v>
      </c>
      <c r="G1165" s="118" t="s">
        <v>613</v>
      </c>
    </row>
    <row r="1166">
      <c r="A1166" s="117">
        <v>46002.94533524306</v>
      </c>
      <c r="B1166" s="60" t="s">
        <v>392</v>
      </c>
      <c r="C1166" s="60" t="s">
        <v>84</v>
      </c>
      <c r="D1166" s="60">
        <v>1.0</v>
      </c>
      <c r="E1166" s="60">
        <v>1.0</v>
      </c>
      <c r="F1166" s="60">
        <v>1.0</v>
      </c>
      <c r="G1166" s="118" t="s">
        <v>613</v>
      </c>
    </row>
    <row r="1167">
      <c r="A1167" s="117">
        <v>46002.94533524306</v>
      </c>
      <c r="B1167" s="60" t="s">
        <v>392</v>
      </c>
      <c r="C1167" s="60" t="s">
        <v>429</v>
      </c>
      <c r="D1167" s="60">
        <v>10.0</v>
      </c>
      <c r="E1167" s="60">
        <v>1.0</v>
      </c>
      <c r="F1167" s="60">
        <v>10.0</v>
      </c>
      <c r="G1167" s="118" t="s">
        <v>613</v>
      </c>
    </row>
    <row r="1168">
      <c r="A1168" s="117">
        <v>46002.94533524306</v>
      </c>
      <c r="B1168" s="60" t="s">
        <v>395</v>
      </c>
      <c r="C1168" s="60" t="s">
        <v>447</v>
      </c>
      <c r="D1168" s="60">
        <v>0.3</v>
      </c>
      <c r="E1168" s="60">
        <v>100.0</v>
      </c>
      <c r="F1168" s="60">
        <v>30.0</v>
      </c>
      <c r="G1168" s="118" t="s">
        <v>613</v>
      </c>
    </row>
    <row r="1169">
      <c r="A1169" s="117">
        <v>46002.94533524306</v>
      </c>
      <c r="B1169" s="60" t="s">
        <v>395</v>
      </c>
      <c r="C1169" s="60" t="s">
        <v>340</v>
      </c>
      <c r="D1169" s="60">
        <v>0.02</v>
      </c>
      <c r="E1169" s="60">
        <v>66.0</v>
      </c>
      <c r="F1169" s="60">
        <v>1.32</v>
      </c>
      <c r="G1169" s="118" t="s">
        <v>613</v>
      </c>
    </row>
    <row r="1170">
      <c r="A1170" s="117">
        <v>46002.94533524306</v>
      </c>
      <c r="B1170" s="60" t="s">
        <v>395</v>
      </c>
      <c r="C1170" s="60" t="s">
        <v>115</v>
      </c>
      <c r="D1170" s="60">
        <v>0.03</v>
      </c>
      <c r="E1170" s="60">
        <v>80.0</v>
      </c>
      <c r="F1170" s="60">
        <v>2.4</v>
      </c>
      <c r="G1170" s="118" t="s">
        <v>613</v>
      </c>
    </row>
    <row r="1171">
      <c r="A1171" s="117">
        <v>46001.94584834491</v>
      </c>
      <c r="B1171" s="60" t="s">
        <v>392</v>
      </c>
      <c r="C1171" s="60" t="s">
        <v>429</v>
      </c>
      <c r="D1171" s="60">
        <v>10.0</v>
      </c>
      <c r="E1171" s="60">
        <v>1.5</v>
      </c>
      <c r="F1171" s="60">
        <v>15.0</v>
      </c>
      <c r="G1171" s="118" t="s">
        <v>614</v>
      </c>
    </row>
    <row r="1172">
      <c r="A1172" s="117">
        <v>46001.94584834491</v>
      </c>
      <c r="B1172" s="60" t="s">
        <v>392</v>
      </c>
      <c r="C1172" s="60" t="s">
        <v>233</v>
      </c>
      <c r="D1172" s="60">
        <v>0.13</v>
      </c>
      <c r="E1172" s="60">
        <v>12.0</v>
      </c>
      <c r="F1172" s="60">
        <v>1.56</v>
      </c>
      <c r="G1172" s="118" t="s">
        <v>614</v>
      </c>
    </row>
    <row r="1173">
      <c r="A1173" s="117">
        <v>46001.94584834491</v>
      </c>
      <c r="B1173" s="60" t="s">
        <v>392</v>
      </c>
      <c r="C1173" s="60" t="s">
        <v>89</v>
      </c>
      <c r="D1173" s="60">
        <v>0.13</v>
      </c>
      <c r="E1173" s="60">
        <v>60.0</v>
      </c>
      <c r="F1173" s="60">
        <v>7.8</v>
      </c>
      <c r="G1173" s="118" t="s">
        <v>614</v>
      </c>
    </row>
    <row r="1174">
      <c r="A1174" s="117">
        <v>46001.94584834491</v>
      </c>
      <c r="B1174" s="60" t="s">
        <v>392</v>
      </c>
      <c r="C1174" s="60" t="s">
        <v>84</v>
      </c>
      <c r="D1174" s="60">
        <v>1.0</v>
      </c>
      <c r="E1174" s="60">
        <v>1.0</v>
      </c>
      <c r="F1174" s="60">
        <v>1.0</v>
      </c>
      <c r="G1174" s="118" t="s">
        <v>614</v>
      </c>
    </row>
    <row r="1175">
      <c r="A1175" s="117">
        <v>46001.94584834491</v>
      </c>
      <c r="B1175" s="60" t="s">
        <v>392</v>
      </c>
      <c r="C1175" s="60" t="s">
        <v>470</v>
      </c>
      <c r="D1175" s="60">
        <v>7.0</v>
      </c>
      <c r="E1175" s="60">
        <v>1.0</v>
      </c>
      <c r="F1175" s="60">
        <v>7.0</v>
      </c>
      <c r="G1175" s="118" t="s">
        <v>614</v>
      </c>
    </row>
    <row r="1176">
      <c r="A1176" s="117">
        <v>46001.94584834491</v>
      </c>
      <c r="B1176" s="60" t="s">
        <v>398</v>
      </c>
      <c r="C1176" s="60" t="s">
        <v>198</v>
      </c>
      <c r="D1176" s="60">
        <v>0.6</v>
      </c>
      <c r="E1176" s="60">
        <v>15.0</v>
      </c>
      <c r="F1176" s="60">
        <v>9.0</v>
      </c>
      <c r="G1176" s="118" t="s">
        <v>614</v>
      </c>
    </row>
    <row r="1177">
      <c r="A1177" s="117">
        <v>46001.94584834491</v>
      </c>
      <c r="B1177" s="60" t="s">
        <v>398</v>
      </c>
      <c r="C1177" s="60" t="s">
        <v>294</v>
      </c>
      <c r="D1177" s="60">
        <v>0.05</v>
      </c>
      <c r="E1177" s="60">
        <v>24.0</v>
      </c>
      <c r="F1177" s="60">
        <v>1.2</v>
      </c>
      <c r="G1177" s="118" t="s">
        <v>614</v>
      </c>
    </row>
    <row r="1178">
      <c r="A1178" s="117">
        <v>46001.94584834491</v>
      </c>
      <c r="B1178" s="60" t="s">
        <v>395</v>
      </c>
      <c r="C1178" s="60" t="s">
        <v>450</v>
      </c>
      <c r="D1178" s="60">
        <v>0.19</v>
      </c>
      <c r="E1178" s="60">
        <v>40.0</v>
      </c>
      <c r="F1178" s="60">
        <v>7.6</v>
      </c>
      <c r="G1178" s="118" t="s">
        <v>614</v>
      </c>
    </row>
    <row r="1179">
      <c r="A1179" s="117">
        <v>46001.94584834491</v>
      </c>
      <c r="B1179" s="60" t="s">
        <v>395</v>
      </c>
      <c r="C1179" s="60" t="s">
        <v>189</v>
      </c>
      <c r="D1179" s="60">
        <v>0.14</v>
      </c>
      <c r="E1179" s="60">
        <v>70.0</v>
      </c>
      <c r="F1179" s="60">
        <v>9.8</v>
      </c>
      <c r="G1179" s="118" t="s">
        <v>614</v>
      </c>
    </row>
    <row r="1180">
      <c r="A1180" s="117">
        <v>46001.94584834491</v>
      </c>
      <c r="B1180" s="60" t="s">
        <v>395</v>
      </c>
      <c r="C1180" s="60" t="s">
        <v>444</v>
      </c>
      <c r="D1180" s="60">
        <v>0.05</v>
      </c>
      <c r="E1180" s="60">
        <v>67.2</v>
      </c>
      <c r="F1180" s="60">
        <v>3.36</v>
      </c>
      <c r="G1180" s="118" t="s">
        <v>614</v>
      </c>
    </row>
    <row r="1181">
      <c r="A1181" s="117">
        <v>46001.94584834491</v>
      </c>
      <c r="B1181" s="60" t="s">
        <v>395</v>
      </c>
      <c r="C1181" s="60" t="s">
        <v>479</v>
      </c>
      <c r="D1181" s="60">
        <v>2.5</v>
      </c>
      <c r="E1181" s="60">
        <v>1.0</v>
      </c>
      <c r="F1181" s="60">
        <v>2.5</v>
      </c>
      <c r="G1181" s="118" t="s">
        <v>614</v>
      </c>
    </row>
    <row r="1182">
      <c r="A1182" s="117">
        <v>46000.94560585648</v>
      </c>
      <c r="B1182" s="60" t="s">
        <v>392</v>
      </c>
      <c r="C1182" s="60" t="s">
        <v>84</v>
      </c>
      <c r="D1182" s="60">
        <v>1.0</v>
      </c>
      <c r="E1182" s="60">
        <v>1.0</v>
      </c>
      <c r="F1182" s="60">
        <v>1.0</v>
      </c>
      <c r="G1182" s="118" t="s">
        <v>615</v>
      </c>
    </row>
    <row r="1183">
      <c r="A1183" s="117">
        <v>46000.94560585648</v>
      </c>
      <c r="B1183" s="60" t="s">
        <v>392</v>
      </c>
      <c r="C1183" s="60" t="s">
        <v>170</v>
      </c>
      <c r="D1183" s="60">
        <v>0.0</v>
      </c>
      <c r="E1183" s="60">
        <v>2.5</v>
      </c>
      <c r="F1183" s="60">
        <v>0.0</v>
      </c>
      <c r="G1183" s="118" t="s">
        <v>615</v>
      </c>
    </row>
    <row r="1184">
      <c r="A1184" s="117">
        <v>46000.94560585648</v>
      </c>
      <c r="B1184" s="60" t="s">
        <v>392</v>
      </c>
      <c r="C1184" s="60" t="s">
        <v>212</v>
      </c>
      <c r="D1184" s="60">
        <v>0.33</v>
      </c>
      <c r="E1184" s="60">
        <v>10.0</v>
      </c>
      <c r="F1184" s="60">
        <v>3.3</v>
      </c>
      <c r="G1184" s="118" t="s">
        <v>615</v>
      </c>
    </row>
    <row r="1185">
      <c r="A1185" s="117">
        <v>46000.94560585648</v>
      </c>
      <c r="B1185" s="60" t="s">
        <v>392</v>
      </c>
      <c r="C1185" s="60" t="s">
        <v>429</v>
      </c>
      <c r="D1185" s="60">
        <v>10.0</v>
      </c>
      <c r="E1185" s="60">
        <v>1.0</v>
      </c>
      <c r="F1185" s="60">
        <v>10.0</v>
      </c>
      <c r="G1185" s="118" t="s">
        <v>615</v>
      </c>
    </row>
    <row r="1186">
      <c r="A1186" s="117">
        <v>46000.94560585648</v>
      </c>
      <c r="B1186" s="60" t="s">
        <v>392</v>
      </c>
      <c r="C1186" s="60" t="s">
        <v>111</v>
      </c>
      <c r="D1186" s="60">
        <v>0.12</v>
      </c>
      <c r="E1186" s="60">
        <v>40.0</v>
      </c>
      <c r="F1186" s="60">
        <v>4.8</v>
      </c>
      <c r="G1186" s="118" t="s">
        <v>615</v>
      </c>
    </row>
    <row r="1187">
      <c r="A1187" s="117">
        <v>46000.94560585648</v>
      </c>
      <c r="B1187" s="60" t="s">
        <v>395</v>
      </c>
      <c r="C1187" s="60" t="s">
        <v>222</v>
      </c>
      <c r="D1187" s="60">
        <v>0.02</v>
      </c>
      <c r="E1187" s="60">
        <v>391.0</v>
      </c>
      <c r="F1187" s="60">
        <v>7.82</v>
      </c>
      <c r="G1187" s="118" t="s">
        <v>615</v>
      </c>
    </row>
    <row r="1188">
      <c r="A1188" s="117">
        <v>46000.94560585648</v>
      </c>
      <c r="B1188" s="60" t="s">
        <v>395</v>
      </c>
      <c r="C1188" s="60" t="s">
        <v>115</v>
      </c>
      <c r="D1188" s="60">
        <v>0.03</v>
      </c>
      <c r="E1188" s="60">
        <v>240.0</v>
      </c>
      <c r="F1188" s="60">
        <v>7.2</v>
      </c>
      <c r="G1188" s="118" t="s">
        <v>615</v>
      </c>
    </row>
    <row r="1189">
      <c r="A1189" s="117">
        <v>46000.94560585648</v>
      </c>
      <c r="B1189" s="60" t="s">
        <v>395</v>
      </c>
      <c r="C1189" s="60" t="s">
        <v>163</v>
      </c>
      <c r="D1189" s="60">
        <v>0.03</v>
      </c>
      <c r="E1189" s="60">
        <v>107.99</v>
      </c>
      <c r="F1189" s="60">
        <v>3.24</v>
      </c>
      <c r="G1189" s="118" t="s">
        <v>615</v>
      </c>
    </row>
    <row r="1190">
      <c r="A1190" s="117">
        <v>46000.94560585648</v>
      </c>
      <c r="B1190" s="60" t="s">
        <v>395</v>
      </c>
      <c r="C1190" s="60" t="s">
        <v>352</v>
      </c>
      <c r="D1190" s="60">
        <v>0.0</v>
      </c>
      <c r="E1190" s="60">
        <v>27.0</v>
      </c>
      <c r="F1190" s="60">
        <v>0.0</v>
      </c>
      <c r="G1190" s="118" t="s">
        <v>615</v>
      </c>
    </row>
    <row r="1191">
      <c r="A1191" s="117">
        <v>46000.94560585648</v>
      </c>
      <c r="B1191" s="60" t="s">
        <v>395</v>
      </c>
      <c r="C1191" s="60" t="s">
        <v>104</v>
      </c>
      <c r="D1191" s="60">
        <v>0.05</v>
      </c>
      <c r="E1191" s="60">
        <v>128.99</v>
      </c>
      <c r="F1191" s="60">
        <v>6.45</v>
      </c>
      <c r="G1191" s="118" t="s">
        <v>615</v>
      </c>
    </row>
    <row r="1192">
      <c r="A1192" s="117">
        <v>46000.94560585648</v>
      </c>
      <c r="B1192" s="60" t="s">
        <v>395</v>
      </c>
      <c r="C1192" s="60" t="s">
        <v>213</v>
      </c>
      <c r="D1192" s="60">
        <v>0.0</v>
      </c>
      <c r="E1192" s="60">
        <v>101.0</v>
      </c>
      <c r="F1192" s="60">
        <v>0.0</v>
      </c>
      <c r="G1192" s="118" t="s">
        <v>615</v>
      </c>
    </row>
    <row r="1193">
      <c r="A1193" s="117">
        <v>46000.94560585648</v>
      </c>
      <c r="B1193" s="60" t="s">
        <v>395</v>
      </c>
      <c r="C1193" s="60" t="s">
        <v>107</v>
      </c>
      <c r="D1193" s="60">
        <v>0.43</v>
      </c>
      <c r="E1193" s="60">
        <v>7.0</v>
      </c>
      <c r="F1193" s="60">
        <v>3.01</v>
      </c>
      <c r="G1193" s="118" t="s">
        <v>615</v>
      </c>
    </row>
    <row r="1194">
      <c r="A1194" s="117">
        <v>46000.94560585648</v>
      </c>
      <c r="B1194" s="60" t="s">
        <v>395</v>
      </c>
      <c r="C1194" s="60" t="s">
        <v>561</v>
      </c>
      <c r="D1194" s="60">
        <v>0.16</v>
      </c>
      <c r="E1194" s="60">
        <v>234.0</v>
      </c>
      <c r="F1194" s="60">
        <v>37.44</v>
      </c>
      <c r="G1194" s="118" t="s">
        <v>615</v>
      </c>
    </row>
    <row r="1195">
      <c r="A1195" s="117">
        <v>46000.94560585648</v>
      </c>
      <c r="B1195" s="60" t="s">
        <v>395</v>
      </c>
      <c r="C1195" s="60" t="s">
        <v>533</v>
      </c>
      <c r="D1195" s="60">
        <v>1.0</v>
      </c>
      <c r="E1195" s="60">
        <v>116.0</v>
      </c>
      <c r="F1195" s="60">
        <v>6.11</v>
      </c>
      <c r="G1195" s="118" t="s">
        <v>615</v>
      </c>
    </row>
    <row r="1196">
      <c r="A1196" s="117">
        <v>46000.94560585648</v>
      </c>
      <c r="B1196" s="60" t="s">
        <v>395</v>
      </c>
      <c r="C1196" s="60" t="s">
        <v>429</v>
      </c>
      <c r="D1196" s="60">
        <v>10.0</v>
      </c>
      <c r="E1196" s="60">
        <v>1.0</v>
      </c>
      <c r="F1196" s="60">
        <v>10.0</v>
      </c>
      <c r="G1196" s="118" t="s">
        <v>615</v>
      </c>
    </row>
    <row r="1197">
      <c r="A1197" s="117">
        <v>46000.94560585648</v>
      </c>
      <c r="B1197" s="60" t="s">
        <v>395</v>
      </c>
      <c r="C1197" s="60" t="s">
        <v>443</v>
      </c>
      <c r="D1197" s="60">
        <v>0.15</v>
      </c>
      <c r="E1197" s="60">
        <v>5.0</v>
      </c>
      <c r="F1197" s="60">
        <v>0.75</v>
      </c>
      <c r="G1197" s="118" t="s">
        <v>615</v>
      </c>
    </row>
    <row r="1198">
      <c r="A1198" s="117">
        <v>45999.94524461805</v>
      </c>
      <c r="B1198" s="60" t="s">
        <v>392</v>
      </c>
      <c r="C1198" s="60" t="s">
        <v>84</v>
      </c>
      <c r="D1198" s="60">
        <v>1.0</v>
      </c>
      <c r="E1198" s="60">
        <v>1.0</v>
      </c>
      <c r="F1198" s="60">
        <v>1.0</v>
      </c>
      <c r="G1198" s="118" t="s">
        <v>616</v>
      </c>
    </row>
    <row r="1199">
      <c r="A1199" s="117">
        <v>45999.94524461805</v>
      </c>
      <c r="B1199" s="60" t="s">
        <v>392</v>
      </c>
      <c r="C1199" s="60" t="s">
        <v>170</v>
      </c>
      <c r="D1199" s="60">
        <v>0.0</v>
      </c>
      <c r="E1199" s="60">
        <v>2.5</v>
      </c>
      <c r="F1199" s="60">
        <v>0.0</v>
      </c>
      <c r="G1199" s="118" t="s">
        <v>616</v>
      </c>
    </row>
    <row r="1200">
      <c r="A1200" s="117">
        <v>45999.94524461805</v>
      </c>
      <c r="B1200" s="60" t="s">
        <v>392</v>
      </c>
      <c r="C1200" s="60" t="s">
        <v>212</v>
      </c>
      <c r="D1200" s="60">
        <v>0.33</v>
      </c>
      <c r="E1200" s="60">
        <v>10.0</v>
      </c>
      <c r="F1200" s="60">
        <v>3.3</v>
      </c>
      <c r="G1200" s="118" t="s">
        <v>616</v>
      </c>
    </row>
    <row r="1201">
      <c r="A1201" s="117">
        <v>45999.94524461805</v>
      </c>
      <c r="B1201" s="60" t="s">
        <v>392</v>
      </c>
      <c r="C1201" s="60" t="s">
        <v>429</v>
      </c>
      <c r="D1201" s="60">
        <v>10.0</v>
      </c>
      <c r="E1201" s="60">
        <v>1.0</v>
      </c>
      <c r="F1201" s="60">
        <v>10.0</v>
      </c>
      <c r="G1201" s="118" t="s">
        <v>616</v>
      </c>
    </row>
    <row r="1202">
      <c r="A1202" s="117">
        <v>45999.94524461805</v>
      </c>
      <c r="B1202" s="60" t="s">
        <v>392</v>
      </c>
      <c r="C1202" s="60" t="s">
        <v>325</v>
      </c>
      <c r="D1202" s="60">
        <v>0.05</v>
      </c>
      <c r="E1202" s="60">
        <v>60.0</v>
      </c>
      <c r="F1202" s="60">
        <v>3.0</v>
      </c>
      <c r="G1202" s="118" t="s">
        <v>616</v>
      </c>
    </row>
    <row r="1203">
      <c r="A1203" s="117">
        <v>45999.94524461805</v>
      </c>
      <c r="B1203" s="60" t="s">
        <v>395</v>
      </c>
      <c r="C1203" s="60" t="s">
        <v>438</v>
      </c>
      <c r="D1203" s="60">
        <v>0.0</v>
      </c>
      <c r="E1203" s="60">
        <v>40.0</v>
      </c>
      <c r="F1203" s="60">
        <v>1.2</v>
      </c>
      <c r="G1203" s="118" t="s">
        <v>616</v>
      </c>
    </row>
    <row r="1204">
      <c r="A1204" s="117">
        <v>45999.94524461805</v>
      </c>
      <c r="B1204" s="60" t="s">
        <v>395</v>
      </c>
      <c r="C1204" s="60" t="s">
        <v>439</v>
      </c>
      <c r="D1204" s="60">
        <v>0.31</v>
      </c>
      <c r="E1204" s="60">
        <v>60.0</v>
      </c>
      <c r="F1204" s="60">
        <v>18.6</v>
      </c>
      <c r="G1204" s="118" t="s">
        <v>616</v>
      </c>
    </row>
    <row r="1205">
      <c r="A1205" s="117">
        <v>45999.94524461805</v>
      </c>
      <c r="B1205" s="60" t="s">
        <v>395</v>
      </c>
      <c r="C1205" s="60" t="s">
        <v>232</v>
      </c>
      <c r="D1205" s="60">
        <v>0.14</v>
      </c>
      <c r="E1205" s="60">
        <v>60.0</v>
      </c>
      <c r="F1205" s="60">
        <v>8.4</v>
      </c>
      <c r="G1205" s="118" t="s">
        <v>616</v>
      </c>
    </row>
    <row r="1206">
      <c r="A1206" s="117">
        <v>45998.94522863426</v>
      </c>
      <c r="B1206" s="60" t="s">
        <v>392</v>
      </c>
      <c r="C1206" s="60" t="s">
        <v>170</v>
      </c>
      <c r="D1206" s="60">
        <v>0.0</v>
      </c>
      <c r="E1206" s="60">
        <v>2.5</v>
      </c>
      <c r="F1206" s="60">
        <v>0.0</v>
      </c>
      <c r="G1206" s="118" t="s">
        <v>617</v>
      </c>
    </row>
    <row r="1207">
      <c r="A1207" s="117">
        <v>45998.94522863426</v>
      </c>
      <c r="B1207" s="60" t="s">
        <v>392</v>
      </c>
      <c r="C1207" s="60" t="s">
        <v>212</v>
      </c>
      <c r="D1207" s="60">
        <v>0.33</v>
      </c>
      <c r="E1207" s="60">
        <v>10.0</v>
      </c>
      <c r="F1207" s="60">
        <v>3.3</v>
      </c>
      <c r="G1207" s="118" t="s">
        <v>617</v>
      </c>
    </row>
    <row r="1208">
      <c r="A1208" s="117">
        <v>45998.94522863426</v>
      </c>
      <c r="B1208" s="60" t="s">
        <v>392</v>
      </c>
      <c r="C1208" s="60" t="s">
        <v>325</v>
      </c>
      <c r="D1208" s="60">
        <v>0.05</v>
      </c>
      <c r="E1208" s="60">
        <v>63.0</v>
      </c>
      <c r="F1208" s="60">
        <v>3.15</v>
      </c>
      <c r="G1208" s="118" t="s">
        <v>617</v>
      </c>
    </row>
    <row r="1209">
      <c r="A1209" s="117">
        <v>45998.94522863426</v>
      </c>
      <c r="B1209" s="60" t="s">
        <v>392</v>
      </c>
      <c r="C1209" s="60" t="s">
        <v>218</v>
      </c>
      <c r="D1209" s="60">
        <v>0.08</v>
      </c>
      <c r="E1209" s="60">
        <v>46.0</v>
      </c>
      <c r="F1209" s="60">
        <v>3.68</v>
      </c>
      <c r="G1209" s="118" t="s">
        <v>617</v>
      </c>
    </row>
    <row r="1210">
      <c r="A1210" s="117">
        <v>45998.94522863426</v>
      </c>
      <c r="B1210" s="60" t="s">
        <v>392</v>
      </c>
      <c r="C1210" s="60" t="s">
        <v>294</v>
      </c>
      <c r="D1210" s="60">
        <v>0.05</v>
      </c>
      <c r="E1210" s="60">
        <v>30.0</v>
      </c>
      <c r="F1210" s="60">
        <v>1.5</v>
      </c>
      <c r="G1210" s="118" t="s">
        <v>617</v>
      </c>
    </row>
    <row r="1211">
      <c r="A1211" s="117">
        <v>45998.94522863426</v>
      </c>
      <c r="B1211" s="60" t="s">
        <v>392</v>
      </c>
      <c r="C1211" s="60" t="s">
        <v>429</v>
      </c>
      <c r="D1211" s="60">
        <v>10.0</v>
      </c>
      <c r="E1211" s="60">
        <v>1.0</v>
      </c>
      <c r="F1211" s="60">
        <v>10.0</v>
      </c>
      <c r="G1211" s="118" t="s">
        <v>617</v>
      </c>
    </row>
    <row r="1212">
      <c r="A1212" s="117">
        <v>45998.94522863426</v>
      </c>
      <c r="B1212" s="60" t="s">
        <v>392</v>
      </c>
      <c r="C1212" s="60" t="s">
        <v>111</v>
      </c>
      <c r="D1212" s="60">
        <v>0.12</v>
      </c>
      <c r="E1212" s="60">
        <v>19.0</v>
      </c>
      <c r="F1212" s="60">
        <v>2.28</v>
      </c>
      <c r="G1212" s="118" t="s">
        <v>617</v>
      </c>
    </row>
    <row r="1213">
      <c r="A1213" s="117">
        <v>45998.94522863426</v>
      </c>
      <c r="B1213" s="60" t="s">
        <v>397</v>
      </c>
      <c r="C1213" s="60" t="s">
        <v>443</v>
      </c>
      <c r="D1213" s="60">
        <v>0.15</v>
      </c>
      <c r="E1213" s="60">
        <v>5.0</v>
      </c>
      <c r="F1213" s="60">
        <v>0.75</v>
      </c>
      <c r="G1213" s="118" t="s">
        <v>617</v>
      </c>
    </row>
    <row r="1214">
      <c r="A1214" s="117">
        <v>45998.94522863426</v>
      </c>
      <c r="B1214" s="60" t="s">
        <v>397</v>
      </c>
      <c r="C1214" s="60" t="s">
        <v>608</v>
      </c>
      <c r="D1214" s="60">
        <v>2.0</v>
      </c>
      <c r="E1214" s="60">
        <v>2.0</v>
      </c>
      <c r="F1214" s="60">
        <v>4.0</v>
      </c>
      <c r="G1214" s="118" t="s">
        <v>617</v>
      </c>
    </row>
    <row r="1215">
      <c r="A1215" s="117">
        <v>45998.94522863426</v>
      </c>
      <c r="B1215" s="60" t="s">
        <v>397</v>
      </c>
      <c r="C1215" s="60" t="s">
        <v>152</v>
      </c>
      <c r="D1215" s="60">
        <v>0.0</v>
      </c>
      <c r="E1215" s="60">
        <v>50.0</v>
      </c>
      <c r="F1215" s="60">
        <v>0.0</v>
      </c>
      <c r="G1215" s="118" t="s">
        <v>617</v>
      </c>
    </row>
    <row r="1216">
      <c r="A1216" s="117">
        <v>45998.94522863426</v>
      </c>
      <c r="B1216" s="60" t="s">
        <v>397</v>
      </c>
      <c r="C1216" s="60" t="s">
        <v>429</v>
      </c>
      <c r="D1216" s="60">
        <v>10.0</v>
      </c>
      <c r="E1216" s="60">
        <v>1.0</v>
      </c>
      <c r="F1216" s="60">
        <v>10.0</v>
      </c>
      <c r="G1216" s="118" t="s">
        <v>617</v>
      </c>
    </row>
    <row r="1217">
      <c r="A1217" s="117">
        <v>45998.94522863426</v>
      </c>
      <c r="B1217" s="60" t="s">
        <v>395</v>
      </c>
      <c r="C1217" s="60" t="s">
        <v>534</v>
      </c>
      <c r="D1217" s="60">
        <v>23.0</v>
      </c>
      <c r="E1217" s="60">
        <v>1.0</v>
      </c>
      <c r="F1217" s="60">
        <v>23.0</v>
      </c>
      <c r="G1217" s="118" t="s">
        <v>617</v>
      </c>
    </row>
    <row r="1218">
      <c r="A1218" s="117">
        <v>45998.94522863426</v>
      </c>
      <c r="B1218" s="60" t="s">
        <v>395</v>
      </c>
      <c r="C1218" s="60" t="s">
        <v>438</v>
      </c>
      <c r="D1218" s="60">
        <v>0.0</v>
      </c>
      <c r="E1218" s="60">
        <v>30.0</v>
      </c>
      <c r="F1218" s="60">
        <v>0.0</v>
      </c>
      <c r="G1218" s="118" t="s">
        <v>617</v>
      </c>
    </row>
    <row r="1219">
      <c r="A1219" s="117">
        <v>45998.94522863426</v>
      </c>
      <c r="B1219" s="60" t="s">
        <v>395</v>
      </c>
      <c r="C1219" s="60" t="s">
        <v>205</v>
      </c>
      <c r="D1219" s="60">
        <v>0.08</v>
      </c>
      <c r="E1219" s="60">
        <v>45.0</v>
      </c>
      <c r="F1219" s="60">
        <v>3.6</v>
      </c>
      <c r="G1219" s="118" t="s">
        <v>617</v>
      </c>
    </row>
    <row r="1220">
      <c r="A1220" s="117">
        <v>45998.94522863426</v>
      </c>
      <c r="B1220" s="60" t="s">
        <v>395</v>
      </c>
      <c r="C1220" s="60" t="s">
        <v>222</v>
      </c>
      <c r="D1220" s="60">
        <v>0.02</v>
      </c>
      <c r="E1220" s="60">
        <v>4.0</v>
      </c>
      <c r="F1220" s="60">
        <v>0.08</v>
      </c>
      <c r="G1220" s="118" t="s">
        <v>617</v>
      </c>
    </row>
    <row r="1221">
      <c r="A1221" s="117">
        <v>45998.94522863426</v>
      </c>
      <c r="B1221" s="60" t="s">
        <v>395</v>
      </c>
      <c r="C1221" s="60" t="s">
        <v>104</v>
      </c>
      <c r="D1221" s="60">
        <v>0.05</v>
      </c>
      <c r="E1221" s="60">
        <v>30.0</v>
      </c>
      <c r="F1221" s="60">
        <v>1.5</v>
      </c>
      <c r="G1221" s="118" t="s">
        <v>617</v>
      </c>
    </row>
    <row r="1222">
      <c r="A1222" s="117">
        <v>45998.94522863426</v>
      </c>
      <c r="B1222" s="60" t="s">
        <v>395</v>
      </c>
      <c r="C1222" s="60" t="s">
        <v>111</v>
      </c>
      <c r="D1222" s="60">
        <v>0.12</v>
      </c>
      <c r="E1222" s="60">
        <v>30.0</v>
      </c>
      <c r="F1222" s="60">
        <v>3.6</v>
      </c>
      <c r="G1222" s="118" t="s">
        <v>617</v>
      </c>
    </row>
    <row r="1223">
      <c r="A1223" s="117">
        <v>45997.94538737269</v>
      </c>
      <c r="B1223" s="60" t="s">
        <v>392</v>
      </c>
      <c r="C1223" s="60" t="s">
        <v>429</v>
      </c>
      <c r="D1223" s="60">
        <v>10.0</v>
      </c>
      <c r="E1223" s="60">
        <v>1.0</v>
      </c>
      <c r="F1223" s="60">
        <v>10.0</v>
      </c>
      <c r="G1223" s="118" t="s">
        <v>618</v>
      </c>
    </row>
    <row r="1224">
      <c r="A1224" s="117">
        <v>45997.94538737269</v>
      </c>
      <c r="B1224" s="60" t="s">
        <v>392</v>
      </c>
      <c r="C1224" s="60" t="s">
        <v>233</v>
      </c>
      <c r="D1224" s="60">
        <v>0.13</v>
      </c>
      <c r="E1224" s="60">
        <v>9.0</v>
      </c>
      <c r="F1224" s="60">
        <v>1.17</v>
      </c>
      <c r="G1224" s="118" t="s">
        <v>618</v>
      </c>
    </row>
    <row r="1225">
      <c r="A1225" s="117">
        <v>45997.94538737269</v>
      </c>
      <c r="B1225" s="60" t="s">
        <v>392</v>
      </c>
      <c r="C1225" s="60" t="s">
        <v>325</v>
      </c>
      <c r="D1225" s="60">
        <v>0.05</v>
      </c>
      <c r="E1225" s="60">
        <v>66.0</v>
      </c>
      <c r="F1225" s="60">
        <v>3.3</v>
      </c>
      <c r="G1225" s="118" t="s">
        <v>618</v>
      </c>
    </row>
    <row r="1226">
      <c r="A1226" s="117">
        <v>45997.94538737269</v>
      </c>
      <c r="B1226" s="60" t="s">
        <v>392</v>
      </c>
      <c r="C1226" s="60" t="s">
        <v>111</v>
      </c>
      <c r="D1226" s="60">
        <v>0.12</v>
      </c>
      <c r="E1226" s="60">
        <v>25.0</v>
      </c>
      <c r="F1226" s="60">
        <v>3.0</v>
      </c>
      <c r="G1226" s="118" t="s">
        <v>618</v>
      </c>
    </row>
    <row r="1227">
      <c r="A1227" s="117">
        <v>45997.94538737269</v>
      </c>
      <c r="B1227" s="60" t="s">
        <v>392</v>
      </c>
      <c r="C1227" s="60" t="s">
        <v>280</v>
      </c>
      <c r="D1227" s="60">
        <v>0.13</v>
      </c>
      <c r="E1227" s="60">
        <v>48.3</v>
      </c>
      <c r="F1227" s="60">
        <v>6.28</v>
      </c>
      <c r="G1227" s="118" t="s">
        <v>618</v>
      </c>
    </row>
    <row r="1228">
      <c r="A1228" s="117">
        <v>45997.94538737269</v>
      </c>
      <c r="B1228" s="60" t="s">
        <v>392</v>
      </c>
      <c r="C1228" s="60" t="s">
        <v>426</v>
      </c>
      <c r="D1228" s="60">
        <v>1.0</v>
      </c>
      <c r="E1228" s="60">
        <v>1.0</v>
      </c>
      <c r="F1228" s="60">
        <v>1.0</v>
      </c>
      <c r="G1228" s="118" t="s">
        <v>618</v>
      </c>
    </row>
    <row r="1229">
      <c r="A1229" s="117">
        <v>45997.94538737269</v>
      </c>
      <c r="B1229" s="60" t="s">
        <v>397</v>
      </c>
      <c r="C1229" s="60" t="s">
        <v>170</v>
      </c>
      <c r="D1229" s="60">
        <v>0.0</v>
      </c>
      <c r="E1229" s="60">
        <v>2.0</v>
      </c>
      <c r="F1229" s="60">
        <v>0.0</v>
      </c>
      <c r="G1229" s="118" t="s">
        <v>618</v>
      </c>
    </row>
    <row r="1230">
      <c r="A1230" s="117">
        <v>45997.94538737269</v>
      </c>
      <c r="B1230" s="60" t="s">
        <v>397</v>
      </c>
      <c r="C1230" s="60" t="s">
        <v>212</v>
      </c>
      <c r="D1230" s="60">
        <v>0.33</v>
      </c>
      <c r="E1230" s="60">
        <v>10.0</v>
      </c>
      <c r="F1230" s="60">
        <v>3.3</v>
      </c>
      <c r="G1230" s="118" t="s">
        <v>618</v>
      </c>
    </row>
    <row r="1231">
      <c r="A1231" s="117">
        <v>45997.94538737269</v>
      </c>
      <c r="B1231" s="60" t="s">
        <v>397</v>
      </c>
      <c r="C1231" s="60" t="s">
        <v>619</v>
      </c>
      <c r="D1231" s="60">
        <v>27.0</v>
      </c>
      <c r="E1231" s="60">
        <v>1.0</v>
      </c>
      <c r="F1231" s="60">
        <v>27.0</v>
      </c>
      <c r="G1231" s="118" t="s">
        <v>618</v>
      </c>
    </row>
    <row r="1232">
      <c r="A1232" s="117">
        <v>45997.94538737269</v>
      </c>
      <c r="B1232" s="60" t="s">
        <v>395</v>
      </c>
      <c r="C1232" s="60" t="s">
        <v>87</v>
      </c>
      <c r="D1232" s="60">
        <v>0.27</v>
      </c>
      <c r="E1232" s="60">
        <v>100.0</v>
      </c>
      <c r="F1232" s="60">
        <v>27.0</v>
      </c>
      <c r="G1232" s="118" t="s">
        <v>618</v>
      </c>
    </row>
    <row r="1233">
      <c r="A1233" s="117">
        <v>45997.94538737269</v>
      </c>
      <c r="B1233" s="60" t="s">
        <v>395</v>
      </c>
      <c r="C1233" s="60" t="s">
        <v>325</v>
      </c>
      <c r="D1233" s="60">
        <v>0.05</v>
      </c>
      <c r="E1233" s="60">
        <v>50.0</v>
      </c>
      <c r="F1233" s="60">
        <v>2.5</v>
      </c>
      <c r="G1233" s="118" t="s">
        <v>618</v>
      </c>
    </row>
    <row r="1234">
      <c r="A1234" s="117">
        <v>45997.94538737269</v>
      </c>
      <c r="B1234" s="60" t="s">
        <v>395</v>
      </c>
      <c r="C1234" s="60" t="s">
        <v>437</v>
      </c>
      <c r="D1234" s="60">
        <v>0.03</v>
      </c>
      <c r="E1234" s="60">
        <v>27.0</v>
      </c>
      <c r="F1234" s="60">
        <v>0.81</v>
      </c>
      <c r="G1234" s="118" t="s">
        <v>618</v>
      </c>
    </row>
    <row r="1235">
      <c r="A1235" s="117">
        <v>45997.94538737269</v>
      </c>
      <c r="B1235" s="60" t="s">
        <v>395</v>
      </c>
      <c r="C1235" s="60" t="s">
        <v>104</v>
      </c>
      <c r="D1235" s="60">
        <v>0.05</v>
      </c>
      <c r="E1235" s="60">
        <v>37.0</v>
      </c>
      <c r="F1235" s="60">
        <v>1.85</v>
      </c>
      <c r="G1235" s="118" t="s">
        <v>618</v>
      </c>
    </row>
    <row r="1236">
      <c r="A1236" s="117">
        <v>45997.94538737269</v>
      </c>
      <c r="B1236" s="60" t="s">
        <v>395</v>
      </c>
      <c r="C1236" s="60" t="s">
        <v>444</v>
      </c>
      <c r="D1236" s="60">
        <v>0.07</v>
      </c>
      <c r="E1236" s="60">
        <v>27.0</v>
      </c>
      <c r="F1236" s="60">
        <v>1.89</v>
      </c>
      <c r="G1236" s="118" t="s">
        <v>618</v>
      </c>
    </row>
    <row r="1237">
      <c r="A1237" s="117">
        <v>45997.94538737269</v>
      </c>
      <c r="B1237" s="60" t="s">
        <v>395</v>
      </c>
      <c r="C1237" s="60" t="s">
        <v>118</v>
      </c>
      <c r="D1237" s="60">
        <v>0.43</v>
      </c>
      <c r="E1237" s="60">
        <v>7.0</v>
      </c>
      <c r="F1237" s="60">
        <v>3.0</v>
      </c>
      <c r="G1237" s="118" t="s">
        <v>618</v>
      </c>
    </row>
    <row r="1238">
      <c r="A1238" s="117">
        <v>45996.94520548611</v>
      </c>
      <c r="B1238" s="60" t="s">
        <v>392</v>
      </c>
      <c r="C1238" s="60" t="s">
        <v>620</v>
      </c>
      <c r="D1238" s="60">
        <v>0.0</v>
      </c>
      <c r="E1238" s="60">
        <v>1.0</v>
      </c>
      <c r="F1238" s="60">
        <v>0.0</v>
      </c>
      <c r="G1238" s="118" t="s">
        <v>621</v>
      </c>
    </row>
    <row r="1239">
      <c r="A1239" s="117">
        <v>45996.94520548611</v>
      </c>
      <c r="B1239" s="60" t="s">
        <v>392</v>
      </c>
      <c r="C1239" s="60" t="s">
        <v>170</v>
      </c>
      <c r="D1239" s="60">
        <v>0.0</v>
      </c>
      <c r="E1239" s="60">
        <v>2.5</v>
      </c>
      <c r="F1239" s="60">
        <v>0.0</v>
      </c>
      <c r="G1239" s="118" t="s">
        <v>621</v>
      </c>
    </row>
    <row r="1240">
      <c r="A1240" s="117">
        <v>45996.94520548611</v>
      </c>
      <c r="B1240" s="60" t="s">
        <v>392</v>
      </c>
      <c r="C1240" s="60" t="s">
        <v>212</v>
      </c>
      <c r="D1240" s="60">
        <v>0.33</v>
      </c>
      <c r="E1240" s="60">
        <v>10.0</v>
      </c>
      <c r="F1240" s="60">
        <v>3.3</v>
      </c>
      <c r="G1240" s="118" t="s">
        <v>621</v>
      </c>
    </row>
    <row r="1241">
      <c r="A1241" s="117">
        <v>45996.94520548611</v>
      </c>
      <c r="B1241" s="60" t="s">
        <v>392</v>
      </c>
      <c r="C1241" s="60" t="s">
        <v>325</v>
      </c>
      <c r="D1241" s="60">
        <v>0.05</v>
      </c>
      <c r="E1241" s="60">
        <v>85.0</v>
      </c>
      <c r="F1241" s="60">
        <v>4.25</v>
      </c>
      <c r="G1241" s="118" t="s">
        <v>621</v>
      </c>
    </row>
    <row r="1242">
      <c r="A1242" s="117">
        <v>45996.94520548611</v>
      </c>
      <c r="B1242" s="60" t="s">
        <v>392</v>
      </c>
      <c r="C1242" s="60" t="s">
        <v>429</v>
      </c>
      <c r="D1242" s="60">
        <v>10.0</v>
      </c>
      <c r="E1242" s="60">
        <v>1.0</v>
      </c>
      <c r="F1242" s="60">
        <v>10.0</v>
      </c>
      <c r="G1242" s="118" t="s">
        <v>621</v>
      </c>
    </row>
    <row r="1243">
      <c r="A1243" s="117">
        <v>45996.94520548611</v>
      </c>
      <c r="B1243" s="60" t="s">
        <v>395</v>
      </c>
      <c r="C1243" s="60" t="s">
        <v>163</v>
      </c>
      <c r="D1243" s="60">
        <v>0.03</v>
      </c>
      <c r="E1243" s="60">
        <v>44.0</v>
      </c>
      <c r="F1243" s="60">
        <v>1.32</v>
      </c>
      <c r="G1243" s="118" t="s">
        <v>621</v>
      </c>
    </row>
    <row r="1244">
      <c r="A1244" s="117">
        <v>45996.94520548611</v>
      </c>
      <c r="B1244" s="60" t="s">
        <v>395</v>
      </c>
      <c r="C1244" s="60" t="s">
        <v>608</v>
      </c>
      <c r="D1244" s="60">
        <v>2.0</v>
      </c>
      <c r="E1244" s="60">
        <v>2.0</v>
      </c>
      <c r="F1244" s="60">
        <v>4.0</v>
      </c>
      <c r="G1244" s="118" t="s">
        <v>621</v>
      </c>
    </row>
    <row r="1245">
      <c r="A1245" s="117">
        <v>45996.94520548611</v>
      </c>
      <c r="B1245" s="60" t="s">
        <v>395</v>
      </c>
      <c r="C1245" s="60" t="s">
        <v>609</v>
      </c>
      <c r="D1245" s="60">
        <v>20.0</v>
      </c>
      <c r="E1245" s="60">
        <v>1.0</v>
      </c>
      <c r="F1245" s="60">
        <v>20.0</v>
      </c>
      <c r="G1245" s="118" t="s">
        <v>621</v>
      </c>
    </row>
    <row r="1246">
      <c r="A1246" s="117">
        <v>45996.94520548611</v>
      </c>
      <c r="B1246" s="60" t="s">
        <v>395</v>
      </c>
      <c r="C1246" s="60" t="s">
        <v>212</v>
      </c>
      <c r="D1246" s="60">
        <v>0.33</v>
      </c>
      <c r="E1246" s="60">
        <v>7.0</v>
      </c>
      <c r="F1246" s="60">
        <v>2.31</v>
      </c>
      <c r="G1246" s="118" t="s">
        <v>621</v>
      </c>
    </row>
    <row r="1247">
      <c r="A1247" s="117">
        <v>45996.94520548611</v>
      </c>
      <c r="B1247" s="60" t="s">
        <v>395</v>
      </c>
      <c r="C1247" s="60" t="s">
        <v>218</v>
      </c>
      <c r="D1247" s="60">
        <v>0.08</v>
      </c>
      <c r="E1247" s="60">
        <v>55.0</v>
      </c>
      <c r="F1247" s="60">
        <v>4.4</v>
      </c>
      <c r="G1247" s="118" t="s">
        <v>621</v>
      </c>
    </row>
    <row r="1248">
      <c r="A1248" s="117">
        <v>45995.945226446755</v>
      </c>
      <c r="B1248" s="60" t="s">
        <v>392</v>
      </c>
      <c r="C1248" s="60" t="s">
        <v>170</v>
      </c>
      <c r="D1248" s="60">
        <v>0.0</v>
      </c>
      <c r="E1248" s="60">
        <v>2.5</v>
      </c>
      <c r="F1248" s="60">
        <v>0.0</v>
      </c>
      <c r="G1248" s="118" t="s">
        <v>622</v>
      </c>
    </row>
    <row r="1249">
      <c r="A1249" s="117">
        <v>45995.945226446755</v>
      </c>
      <c r="B1249" s="60" t="s">
        <v>392</v>
      </c>
      <c r="C1249" s="60" t="s">
        <v>212</v>
      </c>
      <c r="D1249" s="60">
        <v>0.33</v>
      </c>
      <c r="E1249" s="60">
        <v>10.0</v>
      </c>
      <c r="F1249" s="60">
        <v>3.3</v>
      </c>
      <c r="G1249" s="118" t="s">
        <v>622</v>
      </c>
    </row>
    <row r="1250">
      <c r="A1250" s="117">
        <v>45995.945226446755</v>
      </c>
      <c r="B1250" s="60" t="s">
        <v>392</v>
      </c>
      <c r="C1250" s="60" t="s">
        <v>429</v>
      </c>
      <c r="D1250" s="60">
        <v>10.0</v>
      </c>
      <c r="E1250" s="60">
        <v>1.0</v>
      </c>
      <c r="F1250" s="60">
        <v>10.0</v>
      </c>
      <c r="G1250" s="118" t="s">
        <v>622</v>
      </c>
    </row>
    <row r="1251">
      <c r="A1251" s="117">
        <v>45995.945226446755</v>
      </c>
      <c r="B1251" s="60" t="s">
        <v>392</v>
      </c>
      <c r="C1251" s="60" t="s">
        <v>111</v>
      </c>
      <c r="D1251" s="60">
        <v>0.12</v>
      </c>
      <c r="E1251" s="60">
        <v>45.0</v>
      </c>
      <c r="F1251" s="60">
        <v>5.4</v>
      </c>
      <c r="G1251" s="118" t="s">
        <v>622</v>
      </c>
    </row>
    <row r="1252">
      <c r="A1252" s="117">
        <v>45995.945226446755</v>
      </c>
      <c r="B1252" s="60" t="s">
        <v>392</v>
      </c>
      <c r="C1252" s="60" t="s">
        <v>426</v>
      </c>
      <c r="D1252" s="60">
        <v>1.0</v>
      </c>
      <c r="E1252" s="60">
        <v>1.0</v>
      </c>
      <c r="F1252" s="60">
        <v>1.0</v>
      </c>
      <c r="G1252" s="118" t="s">
        <v>622</v>
      </c>
    </row>
    <row r="1253">
      <c r="A1253" s="117">
        <v>45995.945226446755</v>
      </c>
      <c r="B1253" s="60" t="s">
        <v>395</v>
      </c>
      <c r="C1253" s="60" t="s">
        <v>222</v>
      </c>
      <c r="D1253" s="60">
        <v>0.02</v>
      </c>
      <c r="E1253" s="60">
        <v>600.0</v>
      </c>
      <c r="F1253" s="60">
        <v>12.0</v>
      </c>
      <c r="G1253" s="118" t="s">
        <v>622</v>
      </c>
    </row>
    <row r="1254">
      <c r="A1254" s="117">
        <v>45995.945226446755</v>
      </c>
      <c r="B1254" s="60" t="s">
        <v>395</v>
      </c>
      <c r="C1254" s="60" t="s">
        <v>115</v>
      </c>
      <c r="D1254" s="60">
        <v>0.03</v>
      </c>
      <c r="E1254" s="60">
        <v>215.0</v>
      </c>
      <c r="F1254" s="60">
        <v>6.45</v>
      </c>
      <c r="G1254" s="118" t="s">
        <v>622</v>
      </c>
    </row>
    <row r="1255">
      <c r="A1255" s="117">
        <v>45995.945226446755</v>
      </c>
      <c r="B1255" s="60" t="s">
        <v>395</v>
      </c>
      <c r="C1255" s="60" t="s">
        <v>104</v>
      </c>
      <c r="D1255" s="60">
        <v>0.05</v>
      </c>
      <c r="E1255" s="60">
        <v>126.0</v>
      </c>
      <c r="F1255" s="60">
        <v>6.3</v>
      </c>
      <c r="G1255" s="118" t="s">
        <v>622</v>
      </c>
    </row>
    <row r="1256">
      <c r="A1256" s="117">
        <v>45995.945226446755</v>
      </c>
      <c r="B1256" s="60" t="s">
        <v>395</v>
      </c>
      <c r="C1256" s="60" t="s">
        <v>213</v>
      </c>
      <c r="D1256" s="60">
        <v>0.0</v>
      </c>
      <c r="E1256" s="60">
        <v>87.0</v>
      </c>
      <c r="F1256" s="60">
        <v>0.0</v>
      </c>
      <c r="G1256" s="118" t="s">
        <v>622</v>
      </c>
    </row>
    <row r="1257">
      <c r="A1257" s="117">
        <v>45995.945226446755</v>
      </c>
      <c r="B1257" s="60" t="s">
        <v>395</v>
      </c>
      <c r="C1257" s="60" t="s">
        <v>542</v>
      </c>
      <c r="D1257" s="60">
        <v>0.0</v>
      </c>
      <c r="E1257" s="60">
        <v>1.0</v>
      </c>
      <c r="F1257" s="60">
        <v>0.0</v>
      </c>
      <c r="G1257" s="118" t="s">
        <v>622</v>
      </c>
    </row>
    <row r="1258">
      <c r="A1258" s="117">
        <v>45995.945226446755</v>
      </c>
      <c r="B1258" s="60" t="s">
        <v>395</v>
      </c>
      <c r="C1258" s="60" t="s">
        <v>542</v>
      </c>
      <c r="D1258" s="60">
        <v>1.0</v>
      </c>
      <c r="E1258" s="60">
        <v>2.8</v>
      </c>
      <c r="F1258" s="60">
        <v>2.8</v>
      </c>
      <c r="G1258" s="118" t="s">
        <v>622</v>
      </c>
    </row>
    <row r="1259">
      <c r="A1259" s="117">
        <v>45995.945226446755</v>
      </c>
      <c r="B1259" s="60" t="s">
        <v>395</v>
      </c>
      <c r="C1259" s="60" t="s">
        <v>238</v>
      </c>
      <c r="D1259" s="60">
        <v>0.0</v>
      </c>
      <c r="E1259" s="60">
        <v>9.0</v>
      </c>
      <c r="F1259" s="60">
        <v>0.0</v>
      </c>
      <c r="G1259" s="118" t="s">
        <v>622</v>
      </c>
    </row>
    <row r="1260">
      <c r="A1260" s="117">
        <v>45995.945226446755</v>
      </c>
      <c r="B1260" s="60" t="s">
        <v>395</v>
      </c>
      <c r="C1260" s="60" t="s">
        <v>533</v>
      </c>
      <c r="D1260" s="60">
        <v>1.0</v>
      </c>
      <c r="E1260" s="60">
        <v>126.0</v>
      </c>
      <c r="F1260" s="60">
        <v>3.34</v>
      </c>
      <c r="G1260" s="118" t="s">
        <v>622</v>
      </c>
    </row>
    <row r="1261">
      <c r="A1261" s="117">
        <v>45995.945226446755</v>
      </c>
      <c r="B1261" s="60" t="s">
        <v>395</v>
      </c>
      <c r="C1261" s="60" t="s">
        <v>206</v>
      </c>
      <c r="D1261" s="60">
        <v>0.08</v>
      </c>
      <c r="E1261" s="60">
        <v>33.8</v>
      </c>
      <c r="F1261" s="60">
        <v>2.7</v>
      </c>
      <c r="G1261" s="118" t="s">
        <v>622</v>
      </c>
    </row>
    <row r="1262">
      <c r="A1262" s="117">
        <v>45995.945226446755</v>
      </c>
      <c r="B1262" s="60" t="s">
        <v>395</v>
      </c>
      <c r="C1262" s="60" t="s">
        <v>232</v>
      </c>
      <c r="D1262" s="60">
        <v>0.14</v>
      </c>
      <c r="E1262" s="60">
        <v>57.0</v>
      </c>
      <c r="F1262" s="60">
        <v>7.98</v>
      </c>
      <c r="G1262" s="118" t="s">
        <v>622</v>
      </c>
    </row>
    <row r="1263">
      <c r="A1263" s="117">
        <v>45994.945382453705</v>
      </c>
      <c r="B1263" s="60" t="s">
        <v>392</v>
      </c>
      <c r="C1263" s="60" t="s">
        <v>623</v>
      </c>
      <c r="D1263" s="60">
        <v>1.0</v>
      </c>
      <c r="E1263" s="60">
        <v>1.0</v>
      </c>
      <c r="F1263" s="60">
        <v>1.0</v>
      </c>
      <c r="G1263" s="118" t="s">
        <v>624</v>
      </c>
    </row>
    <row r="1264">
      <c r="A1264" s="117">
        <v>45994.945382453705</v>
      </c>
      <c r="B1264" s="60" t="s">
        <v>392</v>
      </c>
      <c r="C1264" s="60" t="s">
        <v>325</v>
      </c>
      <c r="D1264" s="60">
        <v>0.05</v>
      </c>
      <c r="E1264" s="60">
        <v>80.0</v>
      </c>
      <c r="F1264" s="60">
        <v>4.0</v>
      </c>
      <c r="G1264" s="118" t="s">
        <v>624</v>
      </c>
    </row>
    <row r="1265">
      <c r="A1265" s="117">
        <v>45994.945382453705</v>
      </c>
      <c r="B1265" s="60" t="s">
        <v>392</v>
      </c>
      <c r="C1265" s="60" t="s">
        <v>429</v>
      </c>
      <c r="D1265" s="60">
        <v>10.0</v>
      </c>
      <c r="E1265" s="60">
        <v>1.5</v>
      </c>
      <c r="F1265" s="60">
        <v>15.0</v>
      </c>
      <c r="G1265" s="118" t="s">
        <v>624</v>
      </c>
    </row>
    <row r="1266">
      <c r="A1266" s="117">
        <v>45994.945382453705</v>
      </c>
      <c r="B1266" s="60" t="s">
        <v>392</v>
      </c>
      <c r="C1266" s="60" t="s">
        <v>233</v>
      </c>
      <c r="D1266" s="60">
        <v>0.13</v>
      </c>
      <c r="E1266" s="60">
        <v>18.0</v>
      </c>
      <c r="F1266" s="60">
        <v>2.34</v>
      </c>
      <c r="G1266" s="118" t="s">
        <v>624</v>
      </c>
    </row>
    <row r="1267">
      <c r="A1267" s="117">
        <v>45994.945382453705</v>
      </c>
      <c r="B1267" s="60" t="s">
        <v>395</v>
      </c>
      <c r="C1267" s="60" t="s">
        <v>87</v>
      </c>
      <c r="D1267" s="60">
        <v>0.27</v>
      </c>
      <c r="E1267" s="60">
        <v>120.0</v>
      </c>
      <c r="F1267" s="60">
        <v>32.4</v>
      </c>
      <c r="G1267" s="118" t="s">
        <v>624</v>
      </c>
    </row>
    <row r="1268">
      <c r="A1268" s="117">
        <v>45994.945382453705</v>
      </c>
      <c r="B1268" s="60" t="s">
        <v>395</v>
      </c>
      <c r="C1268" s="60" t="s">
        <v>115</v>
      </c>
      <c r="D1268" s="60">
        <v>0.03</v>
      </c>
      <c r="E1268" s="60">
        <v>33.33</v>
      </c>
      <c r="F1268" s="60">
        <v>1.0</v>
      </c>
      <c r="G1268" s="118" t="s">
        <v>624</v>
      </c>
    </row>
    <row r="1269">
      <c r="A1269" s="117">
        <v>45994.945382453705</v>
      </c>
      <c r="B1269" s="60" t="s">
        <v>395</v>
      </c>
      <c r="C1269" s="60" t="s">
        <v>104</v>
      </c>
      <c r="D1269" s="60">
        <v>0.05</v>
      </c>
      <c r="E1269" s="60">
        <v>20.0</v>
      </c>
      <c r="F1269" s="60">
        <v>1.0</v>
      </c>
      <c r="G1269" s="118" t="s">
        <v>624</v>
      </c>
    </row>
    <row r="1270">
      <c r="A1270" s="117">
        <v>45994.945382453705</v>
      </c>
      <c r="B1270" s="60" t="s">
        <v>395</v>
      </c>
      <c r="C1270" s="60" t="s">
        <v>118</v>
      </c>
      <c r="D1270" s="60">
        <v>0.43</v>
      </c>
      <c r="E1270" s="60">
        <v>14.0</v>
      </c>
      <c r="F1270" s="60">
        <v>6.0</v>
      </c>
      <c r="G1270" s="118" t="s">
        <v>624</v>
      </c>
    </row>
    <row r="1271">
      <c r="A1271" s="117">
        <v>45994.945382453705</v>
      </c>
      <c r="B1271" s="60" t="s">
        <v>395</v>
      </c>
      <c r="C1271" s="60" t="s">
        <v>232</v>
      </c>
      <c r="D1271" s="60">
        <v>0.14</v>
      </c>
      <c r="E1271" s="60">
        <v>75.0</v>
      </c>
      <c r="F1271" s="60">
        <v>10.5</v>
      </c>
      <c r="G1271" s="118" t="s">
        <v>624</v>
      </c>
    </row>
    <row r="1272">
      <c r="A1272" s="117">
        <v>45993.94536423611</v>
      </c>
      <c r="B1272" s="60" t="s">
        <v>392</v>
      </c>
      <c r="C1272" s="60" t="s">
        <v>170</v>
      </c>
      <c r="D1272" s="60">
        <v>0.0</v>
      </c>
      <c r="E1272" s="60">
        <v>2.5</v>
      </c>
      <c r="F1272" s="60">
        <v>0.0</v>
      </c>
      <c r="G1272" s="118" t="s">
        <v>625</v>
      </c>
    </row>
    <row r="1273">
      <c r="A1273" s="117">
        <v>45993.94536423611</v>
      </c>
      <c r="B1273" s="60" t="s">
        <v>392</v>
      </c>
      <c r="C1273" s="60" t="s">
        <v>212</v>
      </c>
      <c r="D1273" s="60">
        <v>0.33</v>
      </c>
      <c r="E1273" s="60">
        <v>10.0</v>
      </c>
      <c r="F1273" s="60">
        <v>3.3</v>
      </c>
      <c r="G1273" s="118" t="s">
        <v>625</v>
      </c>
    </row>
    <row r="1274">
      <c r="A1274" s="117">
        <v>45993.94536423611</v>
      </c>
      <c r="B1274" s="60" t="s">
        <v>392</v>
      </c>
      <c r="C1274" s="60" t="s">
        <v>626</v>
      </c>
      <c r="D1274" s="60">
        <v>11.0</v>
      </c>
      <c r="E1274" s="60">
        <v>0.5</v>
      </c>
      <c r="F1274" s="60">
        <v>5.5</v>
      </c>
      <c r="G1274" s="118" t="s">
        <v>625</v>
      </c>
    </row>
    <row r="1275">
      <c r="A1275" s="117">
        <v>45993.94536423611</v>
      </c>
      <c r="B1275" s="60" t="s">
        <v>392</v>
      </c>
      <c r="C1275" s="60" t="s">
        <v>429</v>
      </c>
      <c r="D1275" s="60">
        <v>10.0</v>
      </c>
      <c r="E1275" s="60">
        <v>0.5</v>
      </c>
      <c r="F1275" s="60">
        <v>5.0</v>
      </c>
      <c r="G1275" s="118" t="s">
        <v>625</v>
      </c>
    </row>
    <row r="1276">
      <c r="A1276" s="117">
        <v>45993.94536423611</v>
      </c>
      <c r="B1276" s="60" t="s">
        <v>392</v>
      </c>
      <c r="C1276" s="60" t="s">
        <v>233</v>
      </c>
      <c r="D1276" s="60">
        <v>0.13</v>
      </c>
      <c r="E1276" s="60">
        <v>8.0</v>
      </c>
      <c r="F1276" s="60">
        <v>1.04</v>
      </c>
      <c r="G1276" s="118" t="s">
        <v>625</v>
      </c>
    </row>
    <row r="1277">
      <c r="A1277" s="117">
        <v>45993.94536423611</v>
      </c>
      <c r="B1277" s="60" t="s">
        <v>392</v>
      </c>
      <c r="C1277" s="60" t="s">
        <v>294</v>
      </c>
      <c r="D1277" s="60">
        <v>0.05</v>
      </c>
      <c r="E1277" s="60">
        <v>60.0</v>
      </c>
      <c r="F1277" s="60">
        <v>3.0</v>
      </c>
      <c r="G1277" s="118" t="s">
        <v>625</v>
      </c>
    </row>
    <row r="1278">
      <c r="A1278" s="117">
        <v>45993.94536423611</v>
      </c>
      <c r="B1278" s="60" t="s">
        <v>392</v>
      </c>
      <c r="C1278" s="60" t="s">
        <v>426</v>
      </c>
      <c r="D1278" s="60">
        <v>1.0</v>
      </c>
      <c r="E1278" s="60">
        <v>1.0</v>
      </c>
      <c r="F1278" s="60">
        <v>1.0</v>
      </c>
      <c r="G1278" s="118" t="s">
        <v>625</v>
      </c>
    </row>
    <row r="1279">
      <c r="A1279" s="117">
        <v>45993.94536423611</v>
      </c>
      <c r="B1279" s="60" t="s">
        <v>395</v>
      </c>
      <c r="C1279" s="60" t="s">
        <v>575</v>
      </c>
      <c r="D1279" s="60">
        <v>0.2</v>
      </c>
      <c r="E1279" s="60">
        <v>80.0</v>
      </c>
      <c r="F1279" s="60">
        <v>16.0</v>
      </c>
      <c r="G1279" s="118" t="s">
        <v>625</v>
      </c>
    </row>
    <row r="1280">
      <c r="A1280" s="117">
        <v>45993.94536423611</v>
      </c>
      <c r="B1280" s="60" t="s">
        <v>395</v>
      </c>
      <c r="C1280" s="60" t="s">
        <v>115</v>
      </c>
      <c r="D1280" s="60">
        <v>0.03</v>
      </c>
      <c r="E1280" s="60">
        <v>66.67</v>
      </c>
      <c r="F1280" s="60">
        <v>2.0</v>
      </c>
      <c r="G1280" s="118" t="s">
        <v>625</v>
      </c>
    </row>
    <row r="1281">
      <c r="A1281" s="117">
        <v>45993.94536423611</v>
      </c>
      <c r="B1281" s="60" t="s">
        <v>395</v>
      </c>
      <c r="C1281" s="60" t="s">
        <v>212</v>
      </c>
      <c r="D1281" s="60">
        <v>0.33</v>
      </c>
      <c r="E1281" s="60">
        <v>10.0</v>
      </c>
      <c r="F1281" s="60">
        <v>3.3</v>
      </c>
      <c r="G1281" s="118" t="s">
        <v>625</v>
      </c>
    </row>
    <row r="1282">
      <c r="A1282" s="117">
        <v>45993.94536423611</v>
      </c>
      <c r="B1282" s="60" t="s">
        <v>395</v>
      </c>
      <c r="C1282" s="60" t="s">
        <v>202</v>
      </c>
      <c r="D1282" s="60">
        <v>0.17</v>
      </c>
      <c r="E1282" s="60">
        <v>57.0</v>
      </c>
      <c r="F1282" s="60">
        <v>9.69</v>
      </c>
      <c r="G1282" s="118" t="s">
        <v>625</v>
      </c>
    </row>
    <row r="1283">
      <c r="A1283" s="117">
        <v>45993.94536423611</v>
      </c>
      <c r="B1283" s="60" t="s">
        <v>395</v>
      </c>
      <c r="C1283" s="60" t="s">
        <v>212</v>
      </c>
      <c r="D1283" s="60">
        <v>0.33</v>
      </c>
      <c r="E1283" s="60">
        <v>10.0</v>
      </c>
      <c r="F1283" s="60">
        <v>3.3</v>
      </c>
      <c r="G1283" s="118" t="s">
        <v>625</v>
      </c>
    </row>
    <row r="1284">
      <c r="A1284" s="117">
        <v>45993.94536423611</v>
      </c>
      <c r="B1284" s="60" t="s">
        <v>395</v>
      </c>
      <c r="C1284" s="60" t="s">
        <v>115</v>
      </c>
      <c r="D1284" s="60">
        <v>0.03</v>
      </c>
      <c r="E1284" s="60">
        <v>55.0</v>
      </c>
      <c r="F1284" s="60">
        <v>1.65</v>
      </c>
      <c r="G1284" s="118" t="s">
        <v>625</v>
      </c>
    </row>
    <row r="1285">
      <c r="A1285" s="117">
        <v>45992.94540038194</v>
      </c>
      <c r="B1285" s="60" t="s">
        <v>392</v>
      </c>
      <c r="C1285" s="60" t="s">
        <v>170</v>
      </c>
      <c r="D1285" s="60">
        <v>0.0</v>
      </c>
      <c r="E1285" s="60">
        <v>2.5</v>
      </c>
      <c r="F1285" s="60">
        <v>0.0</v>
      </c>
      <c r="G1285" s="118" t="s">
        <v>627</v>
      </c>
    </row>
    <row r="1286">
      <c r="A1286" s="117">
        <v>45992.94540038194</v>
      </c>
      <c r="B1286" s="60" t="s">
        <v>392</v>
      </c>
      <c r="C1286" s="60" t="s">
        <v>212</v>
      </c>
      <c r="D1286" s="60">
        <v>0.33</v>
      </c>
      <c r="E1286" s="60">
        <v>13.0</v>
      </c>
      <c r="F1286" s="60">
        <v>4.29</v>
      </c>
      <c r="G1286" s="118" t="s">
        <v>627</v>
      </c>
    </row>
    <row r="1287">
      <c r="A1287" s="117">
        <v>45992.94540038194</v>
      </c>
      <c r="B1287" s="60" t="s">
        <v>392</v>
      </c>
      <c r="C1287" s="60" t="s">
        <v>89</v>
      </c>
      <c r="D1287" s="60">
        <v>0.13</v>
      </c>
      <c r="E1287" s="60">
        <v>70.0</v>
      </c>
      <c r="F1287" s="60">
        <v>9.1</v>
      </c>
      <c r="G1287" s="118" t="s">
        <v>627</v>
      </c>
    </row>
    <row r="1288">
      <c r="A1288" s="117">
        <v>45992.94540038194</v>
      </c>
      <c r="B1288" s="60" t="s">
        <v>392</v>
      </c>
      <c r="C1288" s="60" t="s">
        <v>429</v>
      </c>
      <c r="D1288" s="60">
        <v>10.0</v>
      </c>
      <c r="E1288" s="60">
        <v>1.0</v>
      </c>
      <c r="F1288" s="60">
        <v>10.0</v>
      </c>
      <c r="G1288" s="118" t="s">
        <v>627</v>
      </c>
    </row>
    <row r="1289">
      <c r="A1289" s="117">
        <v>45992.94540038194</v>
      </c>
      <c r="B1289" s="60" t="s">
        <v>392</v>
      </c>
      <c r="C1289" s="60" t="s">
        <v>426</v>
      </c>
      <c r="D1289" s="60">
        <v>1.0</v>
      </c>
      <c r="E1289" s="60">
        <v>0.5</v>
      </c>
      <c r="F1289" s="60">
        <v>0.5</v>
      </c>
      <c r="G1289" s="118" t="s">
        <v>627</v>
      </c>
    </row>
    <row r="1290">
      <c r="A1290" s="117">
        <v>45992.94540038194</v>
      </c>
      <c r="B1290" s="60" t="s">
        <v>395</v>
      </c>
      <c r="C1290" s="60" t="s">
        <v>339</v>
      </c>
      <c r="D1290" s="60">
        <v>0.13</v>
      </c>
      <c r="E1290" s="60">
        <v>41.0</v>
      </c>
      <c r="F1290" s="60">
        <v>5.33</v>
      </c>
      <c r="G1290" s="118" t="s">
        <v>627</v>
      </c>
    </row>
    <row r="1291">
      <c r="A1291" s="117">
        <v>45992.94540038194</v>
      </c>
      <c r="B1291" s="60" t="s">
        <v>395</v>
      </c>
      <c r="C1291" s="60" t="s">
        <v>605</v>
      </c>
      <c r="D1291" s="60">
        <v>0.17</v>
      </c>
      <c r="E1291" s="60">
        <v>54.0</v>
      </c>
      <c r="F1291" s="60">
        <v>9.18</v>
      </c>
      <c r="G1291" s="118" t="s">
        <v>627</v>
      </c>
    </row>
    <row r="1292">
      <c r="A1292" s="117">
        <v>45992.94540038194</v>
      </c>
      <c r="B1292" s="60" t="s">
        <v>395</v>
      </c>
      <c r="C1292" s="60" t="s">
        <v>116</v>
      </c>
      <c r="D1292" s="60">
        <v>0.11</v>
      </c>
      <c r="E1292" s="60">
        <v>21.0</v>
      </c>
      <c r="F1292" s="60">
        <v>2.31</v>
      </c>
      <c r="G1292" s="118" t="s">
        <v>627</v>
      </c>
    </row>
    <row r="1293">
      <c r="A1293" s="117">
        <v>45992.94540038194</v>
      </c>
      <c r="B1293" s="60" t="s">
        <v>395</v>
      </c>
      <c r="C1293" s="60" t="s">
        <v>338</v>
      </c>
      <c r="D1293" s="60">
        <v>0.04</v>
      </c>
      <c r="E1293" s="60">
        <v>485.98</v>
      </c>
      <c r="F1293" s="60">
        <v>19.44</v>
      </c>
      <c r="G1293" s="118" t="s">
        <v>627</v>
      </c>
    </row>
    <row r="1294">
      <c r="A1294" s="117">
        <v>45992.94540038194</v>
      </c>
      <c r="B1294" s="60" t="s">
        <v>395</v>
      </c>
      <c r="C1294" s="60" t="s">
        <v>426</v>
      </c>
      <c r="D1294" s="60">
        <v>0.0</v>
      </c>
      <c r="E1294" s="60">
        <v>152.0</v>
      </c>
      <c r="F1294" s="60">
        <v>0.0</v>
      </c>
      <c r="G1294" s="118" t="s">
        <v>627</v>
      </c>
    </row>
    <row r="1295">
      <c r="A1295" s="117">
        <v>45992.94540038194</v>
      </c>
      <c r="B1295" s="60" t="s">
        <v>395</v>
      </c>
      <c r="C1295" s="60" t="s">
        <v>468</v>
      </c>
      <c r="D1295" s="60">
        <v>0.27</v>
      </c>
      <c r="E1295" s="60">
        <v>115.0</v>
      </c>
      <c r="F1295" s="60">
        <v>31.05</v>
      </c>
      <c r="G1295" s="118" t="s">
        <v>627</v>
      </c>
    </row>
    <row r="1296">
      <c r="A1296" s="117">
        <v>45992.94540038194</v>
      </c>
      <c r="B1296" s="60" t="s">
        <v>395</v>
      </c>
      <c r="C1296" s="60" t="s">
        <v>573</v>
      </c>
      <c r="D1296" s="60">
        <v>1.0</v>
      </c>
      <c r="E1296" s="60">
        <v>80.0</v>
      </c>
      <c r="F1296" s="60">
        <v>3.85</v>
      </c>
      <c r="G1296" s="118" t="s">
        <v>627</v>
      </c>
    </row>
    <row r="1297">
      <c r="A1297" s="117">
        <v>45992.94540038194</v>
      </c>
      <c r="B1297" s="60" t="s">
        <v>395</v>
      </c>
      <c r="C1297" s="60" t="s">
        <v>628</v>
      </c>
      <c r="D1297" s="60">
        <v>1.0</v>
      </c>
      <c r="E1297" s="60">
        <v>5.5</v>
      </c>
      <c r="F1297" s="60">
        <v>5.5</v>
      </c>
      <c r="G1297" s="118" t="s">
        <v>627</v>
      </c>
    </row>
    <row r="1298">
      <c r="A1298" s="117">
        <v>45992.94540038194</v>
      </c>
      <c r="B1298" s="60" t="s">
        <v>395</v>
      </c>
      <c r="C1298" s="60" t="s">
        <v>232</v>
      </c>
      <c r="D1298" s="60">
        <v>0.14</v>
      </c>
      <c r="E1298" s="60">
        <v>38.0</v>
      </c>
      <c r="F1298" s="60">
        <v>5.32</v>
      </c>
      <c r="G1298" s="118" t="s">
        <v>627</v>
      </c>
    </row>
    <row r="1299">
      <c r="A1299" s="117">
        <v>45991.94525549769</v>
      </c>
      <c r="B1299" s="60" t="s">
        <v>392</v>
      </c>
      <c r="C1299" s="60" t="s">
        <v>170</v>
      </c>
      <c r="D1299" s="60">
        <v>0.0</v>
      </c>
      <c r="E1299" s="60">
        <v>2.5</v>
      </c>
      <c r="F1299" s="60">
        <v>0.0</v>
      </c>
      <c r="G1299" s="118" t="s">
        <v>629</v>
      </c>
    </row>
    <row r="1300">
      <c r="A1300" s="117">
        <v>45991.94525549769</v>
      </c>
      <c r="B1300" s="60" t="s">
        <v>392</v>
      </c>
      <c r="C1300" s="60" t="s">
        <v>212</v>
      </c>
      <c r="D1300" s="60">
        <v>0.33</v>
      </c>
      <c r="E1300" s="60">
        <v>10.0</v>
      </c>
      <c r="F1300" s="60">
        <v>3.3</v>
      </c>
      <c r="G1300" s="118" t="s">
        <v>629</v>
      </c>
    </row>
    <row r="1301">
      <c r="A1301" s="117">
        <v>45991.94525549769</v>
      </c>
      <c r="B1301" s="60" t="s">
        <v>392</v>
      </c>
      <c r="C1301" s="60" t="s">
        <v>294</v>
      </c>
      <c r="D1301" s="60">
        <v>0.05</v>
      </c>
      <c r="E1301" s="60">
        <v>60.0</v>
      </c>
      <c r="F1301" s="60">
        <v>3.0</v>
      </c>
      <c r="G1301" s="118" t="s">
        <v>629</v>
      </c>
    </row>
    <row r="1302">
      <c r="A1302" s="117">
        <v>45991.94525549769</v>
      </c>
      <c r="B1302" s="60" t="s">
        <v>392</v>
      </c>
      <c r="C1302" s="60" t="s">
        <v>429</v>
      </c>
      <c r="D1302" s="60">
        <v>10.0</v>
      </c>
      <c r="E1302" s="60">
        <v>1.0</v>
      </c>
      <c r="F1302" s="60">
        <v>10.0</v>
      </c>
      <c r="G1302" s="118" t="s">
        <v>629</v>
      </c>
    </row>
    <row r="1303">
      <c r="A1303" s="117">
        <v>45991.94525549769</v>
      </c>
      <c r="B1303" s="60" t="s">
        <v>392</v>
      </c>
      <c r="C1303" s="60" t="s">
        <v>630</v>
      </c>
      <c r="D1303" s="60">
        <v>13.0</v>
      </c>
      <c r="E1303" s="60">
        <v>0.5</v>
      </c>
      <c r="F1303" s="60">
        <v>6.5</v>
      </c>
      <c r="G1303" s="118" t="s">
        <v>629</v>
      </c>
    </row>
    <row r="1304">
      <c r="A1304" s="117">
        <v>45991.94525549769</v>
      </c>
      <c r="B1304" s="60" t="s">
        <v>397</v>
      </c>
      <c r="C1304" s="60" t="s">
        <v>534</v>
      </c>
      <c r="D1304" s="60">
        <v>23.0</v>
      </c>
      <c r="E1304" s="60">
        <v>0.5</v>
      </c>
      <c r="F1304" s="60">
        <v>11.5</v>
      </c>
      <c r="G1304" s="118" t="s">
        <v>629</v>
      </c>
    </row>
    <row r="1305">
      <c r="A1305" s="117">
        <v>45991.94525549769</v>
      </c>
      <c r="B1305" s="60" t="s">
        <v>397</v>
      </c>
      <c r="C1305" s="60" t="s">
        <v>233</v>
      </c>
      <c r="D1305" s="60">
        <v>0.13</v>
      </c>
      <c r="E1305" s="60">
        <v>8.0</v>
      </c>
      <c r="F1305" s="60">
        <v>1.04</v>
      </c>
      <c r="G1305" s="118" t="s">
        <v>629</v>
      </c>
    </row>
    <row r="1306">
      <c r="A1306" s="117">
        <v>45991.94525549769</v>
      </c>
      <c r="B1306" s="60" t="s">
        <v>397</v>
      </c>
      <c r="C1306" s="60" t="s">
        <v>111</v>
      </c>
      <c r="D1306" s="60">
        <v>0.12</v>
      </c>
      <c r="E1306" s="60">
        <v>33.3</v>
      </c>
      <c r="F1306" s="60">
        <v>4.0</v>
      </c>
      <c r="G1306" s="118" t="s">
        <v>629</v>
      </c>
    </row>
    <row r="1307">
      <c r="A1307" s="117">
        <v>45991.94525549769</v>
      </c>
      <c r="B1307" s="60" t="s">
        <v>397</v>
      </c>
      <c r="C1307" s="60" t="s">
        <v>267</v>
      </c>
      <c r="D1307" s="60">
        <v>0.79</v>
      </c>
      <c r="E1307" s="60">
        <v>6.0</v>
      </c>
      <c r="F1307" s="60">
        <v>4.74</v>
      </c>
      <c r="G1307" s="118" t="s">
        <v>629</v>
      </c>
    </row>
    <row r="1308">
      <c r="A1308" s="117">
        <v>45991.94525549769</v>
      </c>
      <c r="B1308" s="60" t="s">
        <v>397</v>
      </c>
      <c r="C1308" s="60" t="s">
        <v>533</v>
      </c>
      <c r="D1308" s="60">
        <v>1.0</v>
      </c>
      <c r="E1308" s="60">
        <v>2.05</v>
      </c>
      <c r="F1308" s="60">
        <v>2.05</v>
      </c>
      <c r="G1308" s="118" t="s">
        <v>629</v>
      </c>
    </row>
    <row r="1309">
      <c r="A1309" s="117">
        <v>45991.94525549769</v>
      </c>
      <c r="B1309" s="60" t="s">
        <v>398</v>
      </c>
      <c r="C1309" s="60" t="s">
        <v>89</v>
      </c>
      <c r="D1309" s="60">
        <v>0.13</v>
      </c>
      <c r="E1309" s="60">
        <v>68.0</v>
      </c>
      <c r="F1309" s="60">
        <v>8.84</v>
      </c>
      <c r="G1309" s="118" t="s">
        <v>629</v>
      </c>
    </row>
    <row r="1310">
      <c r="A1310" s="117">
        <v>45991.94525549769</v>
      </c>
      <c r="B1310" s="60" t="s">
        <v>398</v>
      </c>
      <c r="C1310" s="60" t="s">
        <v>426</v>
      </c>
      <c r="D1310" s="60">
        <v>1.0</v>
      </c>
      <c r="E1310" s="60">
        <v>6.6</v>
      </c>
      <c r="F1310" s="60">
        <v>6.6</v>
      </c>
      <c r="G1310" s="118" t="s">
        <v>629</v>
      </c>
    </row>
    <row r="1311">
      <c r="A1311" s="117">
        <v>45991.94525549769</v>
      </c>
      <c r="B1311" s="60" t="s">
        <v>395</v>
      </c>
      <c r="C1311" s="60" t="s">
        <v>338</v>
      </c>
      <c r="D1311" s="60">
        <v>0.04</v>
      </c>
      <c r="E1311" s="60">
        <v>334.0</v>
      </c>
      <c r="F1311" s="60">
        <v>13.36</v>
      </c>
      <c r="G1311" s="118" t="s">
        <v>629</v>
      </c>
    </row>
    <row r="1312">
      <c r="A1312" s="117">
        <v>45991.94525549769</v>
      </c>
      <c r="B1312" s="60" t="s">
        <v>395</v>
      </c>
      <c r="C1312" s="60" t="s">
        <v>339</v>
      </c>
      <c r="D1312" s="60">
        <v>0.13</v>
      </c>
      <c r="E1312" s="60">
        <v>40.0</v>
      </c>
      <c r="F1312" s="60">
        <v>5.2</v>
      </c>
      <c r="G1312" s="118" t="s">
        <v>629</v>
      </c>
    </row>
    <row r="1313">
      <c r="A1313" s="117">
        <v>45991.94525549769</v>
      </c>
      <c r="B1313" s="60" t="s">
        <v>395</v>
      </c>
      <c r="C1313" s="60" t="s">
        <v>631</v>
      </c>
      <c r="D1313" s="60">
        <v>0.04</v>
      </c>
      <c r="E1313" s="60">
        <v>340.0</v>
      </c>
      <c r="F1313" s="60">
        <v>13.6</v>
      </c>
      <c r="G1313" s="118" t="s">
        <v>629</v>
      </c>
    </row>
    <row r="1314">
      <c r="A1314" s="117">
        <v>45991.94525549769</v>
      </c>
      <c r="B1314" s="60" t="s">
        <v>395</v>
      </c>
      <c r="C1314" s="60" t="s">
        <v>447</v>
      </c>
      <c r="D1314" s="60">
        <v>0.3</v>
      </c>
      <c r="E1314" s="60">
        <v>60.0</v>
      </c>
      <c r="F1314" s="60">
        <v>18.0</v>
      </c>
      <c r="G1314" s="118" t="s">
        <v>629</v>
      </c>
    </row>
    <row r="1315">
      <c r="A1315" s="117">
        <v>45991.94525549769</v>
      </c>
      <c r="B1315" s="60" t="s">
        <v>395</v>
      </c>
      <c r="C1315" s="60" t="s">
        <v>506</v>
      </c>
      <c r="D1315" s="60">
        <v>3.0</v>
      </c>
      <c r="E1315" s="60">
        <v>1.0</v>
      </c>
      <c r="F1315" s="60">
        <v>3.0</v>
      </c>
      <c r="G1315" s="118" t="s">
        <v>629</v>
      </c>
    </row>
    <row r="1316">
      <c r="A1316" s="117">
        <v>45991.94525549769</v>
      </c>
      <c r="B1316" s="60" t="s">
        <v>395</v>
      </c>
      <c r="C1316" s="60" t="s">
        <v>205</v>
      </c>
      <c r="D1316" s="60">
        <v>0.08</v>
      </c>
      <c r="E1316" s="60">
        <v>24.0</v>
      </c>
      <c r="F1316" s="60">
        <v>1.92</v>
      </c>
      <c r="G1316" s="118" t="s">
        <v>629</v>
      </c>
    </row>
    <row r="1317">
      <c r="A1317" s="117">
        <v>45991.94525549769</v>
      </c>
      <c r="B1317" s="60" t="s">
        <v>395</v>
      </c>
      <c r="C1317" s="60" t="s">
        <v>632</v>
      </c>
      <c r="D1317" s="60">
        <v>1.0</v>
      </c>
      <c r="E1317" s="60">
        <v>7.2</v>
      </c>
      <c r="F1317" s="60">
        <v>7.2</v>
      </c>
      <c r="G1317" s="118" t="s">
        <v>629</v>
      </c>
    </row>
    <row r="1318">
      <c r="A1318" s="117">
        <v>45991.94525549769</v>
      </c>
      <c r="B1318" s="60" t="s">
        <v>395</v>
      </c>
      <c r="C1318" s="60" t="s">
        <v>447</v>
      </c>
      <c r="D1318" s="60">
        <v>0.3</v>
      </c>
      <c r="E1318" s="60">
        <v>70.0</v>
      </c>
      <c r="F1318" s="60">
        <v>21.0</v>
      </c>
      <c r="G1318" s="118" t="s">
        <v>629</v>
      </c>
    </row>
    <row r="1319">
      <c r="A1319" s="117">
        <v>45990.94524403935</v>
      </c>
      <c r="B1319" s="60" t="s">
        <v>392</v>
      </c>
      <c r="C1319" s="60" t="s">
        <v>170</v>
      </c>
      <c r="D1319" s="60">
        <v>0.0</v>
      </c>
      <c r="E1319" s="60">
        <v>2.5</v>
      </c>
      <c r="F1319" s="60">
        <v>0.0</v>
      </c>
      <c r="G1319" s="118" t="s">
        <v>633</v>
      </c>
    </row>
    <row r="1320">
      <c r="A1320" s="117">
        <v>45990.94524403935</v>
      </c>
      <c r="B1320" s="60" t="s">
        <v>392</v>
      </c>
      <c r="C1320" s="60" t="s">
        <v>212</v>
      </c>
      <c r="D1320" s="60">
        <v>0.33</v>
      </c>
      <c r="E1320" s="60">
        <v>10.0</v>
      </c>
      <c r="F1320" s="60">
        <v>3.3</v>
      </c>
      <c r="G1320" s="118" t="s">
        <v>633</v>
      </c>
    </row>
    <row r="1321">
      <c r="A1321" s="117">
        <v>45990.94524403935</v>
      </c>
      <c r="B1321" s="60" t="s">
        <v>392</v>
      </c>
      <c r="C1321" s="60" t="s">
        <v>470</v>
      </c>
      <c r="D1321" s="60">
        <v>7.0</v>
      </c>
      <c r="E1321" s="60">
        <v>1.0</v>
      </c>
      <c r="F1321" s="60">
        <v>7.0</v>
      </c>
      <c r="G1321" s="118" t="s">
        <v>633</v>
      </c>
    </row>
    <row r="1322">
      <c r="A1322" s="117">
        <v>45990.94524403935</v>
      </c>
      <c r="B1322" s="60" t="s">
        <v>392</v>
      </c>
      <c r="C1322" s="60" t="s">
        <v>111</v>
      </c>
      <c r="D1322" s="60">
        <v>0.12</v>
      </c>
      <c r="E1322" s="60">
        <v>46.0</v>
      </c>
      <c r="F1322" s="60">
        <v>5.52</v>
      </c>
      <c r="G1322" s="118" t="s">
        <v>633</v>
      </c>
    </row>
    <row r="1323">
      <c r="A1323" s="117">
        <v>45990.94524403935</v>
      </c>
      <c r="B1323" s="60" t="s">
        <v>397</v>
      </c>
      <c r="C1323" s="60" t="s">
        <v>534</v>
      </c>
      <c r="D1323" s="60">
        <v>23.0</v>
      </c>
      <c r="E1323" s="60">
        <v>0.5</v>
      </c>
      <c r="F1323" s="60">
        <v>11.5</v>
      </c>
      <c r="G1323" s="118" t="s">
        <v>633</v>
      </c>
    </row>
    <row r="1324">
      <c r="A1324" s="117">
        <v>45990.94524403935</v>
      </c>
      <c r="B1324" s="60" t="s">
        <v>397</v>
      </c>
      <c r="C1324" s="60" t="s">
        <v>233</v>
      </c>
      <c r="D1324" s="60">
        <v>0.13</v>
      </c>
      <c r="E1324" s="60">
        <v>8.0</v>
      </c>
      <c r="F1324" s="60">
        <v>1.04</v>
      </c>
      <c r="G1324" s="118" t="s">
        <v>633</v>
      </c>
    </row>
    <row r="1325">
      <c r="A1325" s="117">
        <v>45990.94524403935</v>
      </c>
      <c r="B1325" s="60" t="s">
        <v>397</v>
      </c>
      <c r="C1325" s="60" t="s">
        <v>634</v>
      </c>
      <c r="D1325" s="60">
        <v>12.0</v>
      </c>
      <c r="E1325" s="60">
        <v>1.0</v>
      </c>
      <c r="F1325" s="60">
        <v>12.0</v>
      </c>
      <c r="G1325" s="118" t="s">
        <v>633</v>
      </c>
    </row>
    <row r="1326">
      <c r="A1326" s="117">
        <v>45990.94524403935</v>
      </c>
      <c r="B1326" s="60" t="s">
        <v>395</v>
      </c>
      <c r="C1326" s="60" t="s">
        <v>443</v>
      </c>
      <c r="D1326" s="60">
        <v>0.15</v>
      </c>
      <c r="E1326" s="60">
        <v>5.0</v>
      </c>
      <c r="F1326" s="60">
        <v>0.75</v>
      </c>
      <c r="G1326" s="118" t="s">
        <v>633</v>
      </c>
    </row>
    <row r="1327">
      <c r="A1327" s="117">
        <v>45990.94524403935</v>
      </c>
      <c r="B1327" s="60" t="s">
        <v>395</v>
      </c>
      <c r="C1327" s="60" t="s">
        <v>205</v>
      </c>
      <c r="D1327" s="60">
        <v>0.08</v>
      </c>
      <c r="E1327" s="60">
        <v>30.0</v>
      </c>
      <c r="F1327" s="60">
        <v>2.4</v>
      </c>
      <c r="G1327" s="118" t="s">
        <v>633</v>
      </c>
    </row>
    <row r="1328">
      <c r="A1328" s="117">
        <v>45990.94524403935</v>
      </c>
      <c r="B1328" s="60" t="s">
        <v>395</v>
      </c>
      <c r="C1328" s="60" t="s">
        <v>306</v>
      </c>
      <c r="D1328" s="60">
        <v>0.04</v>
      </c>
      <c r="E1328" s="60">
        <v>35.0</v>
      </c>
      <c r="F1328" s="60">
        <v>1.4</v>
      </c>
      <c r="G1328" s="118" t="s">
        <v>633</v>
      </c>
    </row>
    <row r="1329">
      <c r="A1329" s="117">
        <v>45990.94524403935</v>
      </c>
      <c r="B1329" s="60" t="s">
        <v>395</v>
      </c>
      <c r="C1329" s="60" t="s">
        <v>439</v>
      </c>
      <c r="D1329" s="60">
        <v>0.31</v>
      </c>
      <c r="E1329" s="60">
        <v>55.0</v>
      </c>
      <c r="F1329" s="60">
        <v>17.05</v>
      </c>
      <c r="G1329" s="118" t="s">
        <v>633</v>
      </c>
    </row>
    <row r="1330">
      <c r="A1330" s="117">
        <v>45989.94522844907</v>
      </c>
      <c r="B1330" s="60" t="s">
        <v>392</v>
      </c>
      <c r="C1330" s="60" t="s">
        <v>170</v>
      </c>
      <c r="D1330" s="60">
        <v>0.0</v>
      </c>
      <c r="E1330" s="60">
        <v>2.5</v>
      </c>
      <c r="F1330" s="60">
        <v>0.0</v>
      </c>
      <c r="G1330" s="118" t="s">
        <v>635</v>
      </c>
    </row>
    <row r="1331">
      <c r="A1331" s="117">
        <v>45989.94522844907</v>
      </c>
      <c r="B1331" s="60" t="s">
        <v>392</v>
      </c>
      <c r="C1331" s="60" t="s">
        <v>429</v>
      </c>
      <c r="D1331" s="60">
        <v>10.0</v>
      </c>
      <c r="E1331" s="60">
        <v>1.0</v>
      </c>
      <c r="F1331" s="60">
        <v>10.0</v>
      </c>
      <c r="G1331" s="118" t="s">
        <v>635</v>
      </c>
    </row>
    <row r="1332">
      <c r="A1332" s="117">
        <v>45989.94522844907</v>
      </c>
      <c r="B1332" s="60" t="s">
        <v>392</v>
      </c>
      <c r="C1332" s="60" t="s">
        <v>212</v>
      </c>
      <c r="D1332" s="60">
        <v>0.33</v>
      </c>
      <c r="E1332" s="60">
        <v>10.0</v>
      </c>
      <c r="F1332" s="60">
        <v>3.3</v>
      </c>
      <c r="G1332" s="118" t="s">
        <v>635</v>
      </c>
    </row>
    <row r="1333">
      <c r="A1333" s="117">
        <v>45989.94522844907</v>
      </c>
      <c r="B1333" s="60" t="s">
        <v>392</v>
      </c>
      <c r="C1333" s="60" t="s">
        <v>125</v>
      </c>
      <c r="D1333" s="60">
        <v>0.08</v>
      </c>
      <c r="E1333" s="60">
        <v>42.0</v>
      </c>
      <c r="F1333" s="60">
        <v>3.36</v>
      </c>
      <c r="G1333" s="118" t="s">
        <v>635</v>
      </c>
    </row>
    <row r="1334">
      <c r="A1334" s="117">
        <v>45989.94522844907</v>
      </c>
      <c r="B1334" s="60" t="s">
        <v>392</v>
      </c>
      <c r="C1334" s="60" t="s">
        <v>294</v>
      </c>
      <c r="D1334" s="60">
        <v>0.05</v>
      </c>
      <c r="E1334" s="60">
        <v>35.0</v>
      </c>
      <c r="F1334" s="60">
        <v>1.75</v>
      </c>
      <c r="G1334" s="118" t="s">
        <v>635</v>
      </c>
    </row>
    <row r="1335">
      <c r="A1335" s="117">
        <v>45989.94522844907</v>
      </c>
      <c r="B1335" s="60" t="s">
        <v>395</v>
      </c>
      <c r="C1335" s="60" t="s">
        <v>570</v>
      </c>
      <c r="D1335" s="60">
        <v>3.33</v>
      </c>
      <c r="E1335" s="60">
        <v>6.0</v>
      </c>
      <c r="F1335" s="60">
        <v>19.98</v>
      </c>
      <c r="G1335" s="118" t="s">
        <v>635</v>
      </c>
    </row>
    <row r="1336">
      <c r="A1336" s="117">
        <v>45989.94522844907</v>
      </c>
      <c r="B1336" s="60" t="s">
        <v>395</v>
      </c>
      <c r="C1336" s="60" t="s">
        <v>212</v>
      </c>
      <c r="D1336" s="60">
        <v>0.33</v>
      </c>
      <c r="E1336" s="60">
        <v>10.0</v>
      </c>
      <c r="F1336" s="60">
        <v>3.3</v>
      </c>
      <c r="G1336" s="118" t="s">
        <v>635</v>
      </c>
    </row>
    <row r="1337">
      <c r="A1337" s="117">
        <v>45989.94522844907</v>
      </c>
      <c r="B1337" s="60" t="s">
        <v>395</v>
      </c>
      <c r="C1337" s="60" t="s">
        <v>608</v>
      </c>
      <c r="D1337" s="60">
        <v>2.0</v>
      </c>
      <c r="E1337" s="60">
        <v>2.0</v>
      </c>
      <c r="F1337" s="60">
        <v>4.0</v>
      </c>
      <c r="G1337" s="118" t="s">
        <v>635</v>
      </c>
    </row>
    <row r="1338">
      <c r="A1338" s="117">
        <v>45989.94522844907</v>
      </c>
      <c r="B1338" s="60" t="s">
        <v>395</v>
      </c>
      <c r="C1338" s="60" t="s">
        <v>212</v>
      </c>
      <c r="D1338" s="60">
        <v>0.33</v>
      </c>
      <c r="E1338" s="60">
        <v>3.0</v>
      </c>
      <c r="F1338" s="60">
        <v>0.99</v>
      </c>
      <c r="G1338" s="118" t="s">
        <v>635</v>
      </c>
    </row>
    <row r="1339">
      <c r="A1339" s="117">
        <v>45988.945287106486</v>
      </c>
      <c r="B1339" s="60" t="s">
        <v>392</v>
      </c>
      <c r="C1339" s="60" t="s">
        <v>429</v>
      </c>
      <c r="D1339" s="60">
        <v>10.0</v>
      </c>
      <c r="E1339" s="60">
        <v>2.0</v>
      </c>
      <c r="F1339" s="60">
        <v>20.0</v>
      </c>
      <c r="G1339" s="118" t="s">
        <v>636</v>
      </c>
    </row>
    <row r="1340">
      <c r="A1340" s="117">
        <v>45988.945287106486</v>
      </c>
      <c r="B1340" s="60" t="s">
        <v>392</v>
      </c>
      <c r="C1340" s="60" t="s">
        <v>233</v>
      </c>
      <c r="D1340" s="60">
        <v>2.34</v>
      </c>
      <c r="E1340" s="60">
        <v>1.0</v>
      </c>
      <c r="F1340" s="60">
        <v>2.34</v>
      </c>
      <c r="G1340" s="118" t="s">
        <v>636</v>
      </c>
    </row>
    <row r="1341">
      <c r="A1341" s="117">
        <v>45988.945287106486</v>
      </c>
      <c r="B1341" s="60" t="s">
        <v>392</v>
      </c>
      <c r="C1341" s="60" t="s">
        <v>98</v>
      </c>
      <c r="D1341" s="60">
        <v>0.21</v>
      </c>
      <c r="E1341" s="60">
        <v>45.0</v>
      </c>
      <c r="F1341" s="60">
        <v>9.45</v>
      </c>
      <c r="G1341" s="118" t="s">
        <v>636</v>
      </c>
    </row>
    <row r="1342">
      <c r="A1342" s="117">
        <v>45988.945287106486</v>
      </c>
      <c r="B1342" s="60" t="s">
        <v>395</v>
      </c>
      <c r="C1342" s="60" t="s">
        <v>115</v>
      </c>
      <c r="D1342" s="60">
        <v>0.03</v>
      </c>
      <c r="E1342" s="60">
        <v>395.0</v>
      </c>
      <c r="F1342" s="60">
        <v>11.85</v>
      </c>
      <c r="G1342" s="118" t="s">
        <v>636</v>
      </c>
    </row>
    <row r="1343">
      <c r="A1343" s="117">
        <v>45988.945287106486</v>
      </c>
      <c r="B1343" s="60" t="s">
        <v>395</v>
      </c>
      <c r="C1343" s="60" t="s">
        <v>104</v>
      </c>
      <c r="D1343" s="60">
        <v>0.05</v>
      </c>
      <c r="E1343" s="60">
        <v>138.0</v>
      </c>
      <c r="F1343" s="60">
        <v>6.9</v>
      </c>
      <c r="G1343" s="118" t="s">
        <v>636</v>
      </c>
    </row>
    <row r="1344">
      <c r="A1344" s="117">
        <v>45988.945287106486</v>
      </c>
      <c r="B1344" s="60" t="s">
        <v>395</v>
      </c>
      <c r="C1344" s="60" t="s">
        <v>163</v>
      </c>
      <c r="D1344" s="60">
        <v>0.03</v>
      </c>
      <c r="E1344" s="60">
        <v>165.0</v>
      </c>
      <c r="F1344" s="60">
        <v>4.95</v>
      </c>
      <c r="G1344" s="118" t="s">
        <v>636</v>
      </c>
    </row>
    <row r="1345">
      <c r="A1345" s="117">
        <v>45988.945287106486</v>
      </c>
      <c r="B1345" s="60" t="s">
        <v>395</v>
      </c>
      <c r="C1345" s="60" t="s">
        <v>152</v>
      </c>
      <c r="D1345" s="60">
        <v>0.0</v>
      </c>
      <c r="E1345" s="60">
        <v>249.0</v>
      </c>
      <c r="F1345" s="60">
        <v>0.0</v>
      </c>
      <c r="G1345" s="118" t="s">
        <v>636</v>
      </c>
    </row>
    <row r="1346">
      <c r="A1346" s="117">
        <v>45988.945287106486</v>
      </c>
      <c r="B1346" s="60" t="s">
        <v>395</v>
      </c>
      <c r="C1346" s="60" t="s">
        <v>214</v>
      </c>
      <c r="D1346" s="60">
        <v>0.07</v>
      </c>
      <c r="E1346" s="60">
        <v>69.0</v>
      </c>
      <c r="F1346" s="60">
        <v>4.83</v>
      </c>
      <c r="G1346" s="118" t="s">
        <v>636</v>
      </c>
    </row>
    <row r="1347">
      <c r="A1347" s="117">
        <v>45988.945287106486</v>
      </c>
      <c r="B1347" s="60" t="s">
        <v>395</v>
      </c>
      <c r="C1347" s="60" t="s">
        <v>438</v>
      </c>
      <c r="D1347" s="60">
        <v>0.0</v>
      </c>
      <c r="E1347" s="60">
        <v>2.9</v>
      </c>
      <c r="F1347" s="60">
        <v>2.86</v>
      </c>
      <c r="G1347" s="118" t="s">
        <v>636</v>
      </c>
    </row>
    <row r="1348">
      <c r="A1348" s="117">
        <v>45988.945287106486</v>
      </c>
      <c r="B1348" s="60" t="s">
        <v>395</v>
      </c>
      <c r="C1348" s="60" t="s">
        <v>202</v>
      </c>
      <c r="D1348" s="60">
        <v>0.17</v>
      </c>
      <c r="E1348" s="60">
        <v>41.0</v>
      </c>
      <c r="F1348" s="60">
        <v>6.97</v>
      </c>
      <c r="G1348" s="118" t="s">
        <v>636</v>
      </c>
    </row>
    <row r="1349">
      <c r="A1349" s="117">
        <v>45987.95668159722</v>
      </c>
      <c r="B1349" s="60" t="s">
        <v>392</v>
      </c>
      <c r="C1349" s="60" t="s">
        <v>170</v>
      </c>
      <c r="D1349" s="60">
        <v>0.0</v>
      </c>
      <c r="E1349" s="60">
        <v>2.5</v>
      </c>
      <c r="F1349" s="60">
        <v>0.0</v>
      </c>
      <c r="G1349" s="118" t="s">
        <v>637</v>
      </c>
    </row>
    <row r="1350">
      <c r="A1350" s="117">
        <v>45987.95668159722</v>
      </c>
      <c r="B1350" s="60" t="s">
        <v>392</v>
      </c>
      <c r="C1350" s="60" t="s">
        <v>212</v>
      </c>
      <c r="D1350" s="60">
        <v>0.33</v>
      </c>
      <c r="E1350" s="60">
        <v>10.0</v>
      </c>
      <c r="F1350" s="60">
        <v>3.3</v>
      </c>
      <c r="G1350" s="118" t="s">
        <v>637</v>
      </c>
    </row>
    <row r="1351">
      <c r="A1351" s="117">
        <v>45987.95668159722</v>
      </c>
      <c r="B1351" s="60" t="s">
        <v>392</v>
      </c>
      <c r="C1351" s="60" t="s">
        <v>429</v>
      </c>
      <c r="D1351" s="60">
        <v>10.0</v>
      </c>
      <c r="E1351" s="60">
        <v>1.0</v>
      </c>
      <c r="F1351" s="60">
        <v>10.0</v>
      </c>
      <c r="G1351" s="118" t="s">
        <v>637</v>
      </c>
    </row>
    <row r="1352">
      <c r="A1352" s="117">
        <v>45987.95668159722</v>
      </c>
      <c r="B1352" s="60" t="s">
        <v>392</v>
      </c>
      <c r="C1352" s="60" t="s">
        <v>89</v>
      </c>
      <c r="D1352" s="60">
        <v>0.13</v>
      </c>
      <c r="E1352" s="60">
        <v>23.1</v>
      </c>
      <c r="F1352" s="60">
        <v>3.0</v>
      </c>
      <c r="G1352" s="118" t="s">
        <v>637</v>
      </c>
    </row>
    <row r="1353">
      <c r="A1353" s="117">
        <v>45987.95668159722</v>
      </c>
      <c r="B1353" s="60" t="s">
        <v>392</v>
      </c>
      <c r="C1353" s="60" t="s">
        <v>233</v>
      </c>
      <c r="D1353" s="60">
        <v>2.34</v>
      </c>
      <c r="E1353" s="60">
        <v>1.0</v>
      </c>
      <c r="F1353" s="60">
        <v>2.34</v>
      </c>
      <c r="G1353" s="118" t="s">
        <v>637</v>
      </c>
    </row>
    <row r="1354">
      <c r="A1354" s="117">
        <v>45987.95668159722</v>
      </c>
      <c r="B1354" s="60" t="s">
        <v>392</v>
      </c>
      <c r="C1354" s="60" t="s">
        <v>426</v>
      </c>
      <c r="D1354" s="60">
        <v>0.0</v>
      </c>
      <c r="E1354" s="60">
        <v>123.0</v>
      </c>
      <c r="F1354" s="60">
        <v>0.0</v>
      </c>
      <c r="G1354" s="118" t="s">
        <v>637</v>
      </c>
    </row>
    <row r="1355">
      <c r="A1355" s="117">
        <v>45987.95668159722</v>
      </c>
      <c r="B1355" s="60" t="s">
        <v>395</v>
      </c>
      <c r="C1355" s="60" t="s">
        <v>439</v>
      </c>
      <c r="D1355" s="60">
        <v>0.31</v>
      </c>
      <c r="E1355" s="60">
        <v>60.0</v>
      </c>
      <c r="F1355" s="60">
        <v>18.6</v>
      </c>
      <c r="G1355" s="118" t="s">
        <v>637</v>
      </c>
    </row>
    <row r="1356">
      <c r="A1356" s="117">
        <v>45987.95668159722</v>
      </c>
      <c r="B1356" s="60" t="s">
        <v>395</v>
      </c>
      <c r="C1356" s="60" t="s">
        <v>638</v>
      </c>
      <c r="D1356" s="60">
        <v>1.0</v>
      </c>
      <c r="E1356" s="60">
        <v>2.0</v>
      </c>
      <c r="F1356" s="60">
        <v>2.0</v>
      </c>
      <c r="G1356" s="118" t="s">
        <v>637</v>
      </c>
    </row>
    <row r="1357">
      <c r="A1357" s="117">
        <v>45987.95668159722</v>
      </c>
      <c r="B1357" s="60" t="s">
        <v>395</v>
      </c>
      <c r="C1357" s="60" t="s">
        <v>444</v>
      </c>
      <c r="D1357" s="60">
        <v>0.05</v>
      </c>
      <c r="E1357" s="60">
        <v>67.2</v>
      </c>
      <c r="F1357" s="60">
        <v>3.36</v>
      </c>
      <c r="G1357" s="118" t="s">
        <v>637</v>
      </c>
    </row>
    <row r="1358">
      <c r="A1358" s="117">
        <v>45987.95668159722</v>
      </c>
      <c r="B1358" s="60" t="s">
        <v>395</v>
      </c>
      <c r="C1358" s="60" t="s">
        <v>639</v>
      </c>
      <c r="D1358" s="60">
        <v>1.0</v>
      </c>
      <c r="E1358" s="60">
        <v>8.0</v>
      </c>
      <c r="F1358" s="60">
        <v>8.0</v>
      </c>
      <c r="G1358" s="118" t="s">
        <v>637</v>
      </c>
    </row>
    <row r="1359">
      <c r="A1359" s="117">
        <v>45987.95668159722</v>
      </c>
      <c r="B1359" s="60" t="s">
        <v>395</v>
      </c>
      <c r="C1359" s="60" t="s">
        <v>111</v>
      </c>
      <c r="D1359" s="60">
        <v>0.12</v>
      </c>
      <c r="E1359" s="60">
        <v>44.0</v>
      </c>
      <c r="F1359" s="60">
        <v>5.28</v>
      </c>
      <c r="G1359" s="118" t="s">
        <v>637</v>
      </c>
    </row>
    <row r="1360">
      <c r="A1360" s="117">
        <v>45986.6989172801</v>
      </c>
      <c r="B1360" s="60" t="s">
        <v>392</v>
      </c>
      <c r="C1360" s="60" t="s">
        <v>429</v>
      </c>
      <c r="D1360" s="60">
        <v>10.0</v>
      </c>
      <c r="E1360" s="60">
        <v>2.0</v>
      </c>
      <c r="F1360" s="60">
        <v>20.0</v>
      </c>
      <c r="G1360" s="118" t="s">
        <v>640</v>
      </c>
    </row>
    <row r="1361">
      <c r="A1361" s="117">
        <v>45986.6989172801</v>
      </c>
      <c r="B1361" s="60" t="s">
        <v>392</v>
      </c>
      <c r="C1361" s="60" t="s">
        <v>233</v>
      </c>
      <c r="D1361" s="60">
        <v>0.13</v>
      </c>
      <c r="E1361" s="60">
        <v>9.0</v>
      </c>
      <c r="F1361" s="60">
        <v>1.17</v>
      </c>
      <c r="G1361" s="118" t="s">
        <v>640</v>
      </c>
    </row>
    <row r="1362">
      <c r="A1362" s="117">
        <v>45986.6989172801</v>
      </c>
      <c r="B1362" s="60" t="s">
        <v>392</v>
      </c>
      <c r="C1362" s="60" t="s">
        <v>424</v>
      </c>
      <c r="D1362" s="60">
        <v>0.27</v>
      </c>
      <c r="E1362" s="60">
        <v>8.0</v>
      </c>
      <c r="F1362" s="60">
        <v>2.16</v>
      </c>
      <c r="G1362" s="118" t="s">
        <v>640</v>
      </c>
    </row>
    <row r="1363">
      <c r="A1363" s="117">
        <v>45986.6989172801</v>
      </c>
      <c r="B1363" s="60" t="s">
        <v>392</v>
      </c>
      <c r="C1363" s="60" t="s">
        <v>89</v>
      </c>
      <c r="D1363" s="60">
        <v>0.13</v>
      </c>
      <c r="E1363" s="60">
        <v>38.5</v>
      </c>
      <c r="F1363" s="60">
        <v>5.0</v>
      </c>
      <c r="G1363" s="118" t="s">
        <v>640</v>
      </c>
    </row>
    <row r="1364">
      <c r="A1364" s="117">
        <v>45985.44469773148</v>
      </c>
      <c r="B1364" s="60" t="s">
        <v>392</v>
      </c>
      <c r="C1364" s="60" t="s">
        <v>170</v>
      </c>
      <c r="D1364" s="60">
        <v>0.0</v>
      </c>
      <c r="E1364" s="60">
        <v>2.0</v>
      </c>
      <c r="F1364" s="60">
        <v>0.0</v>
      </c>
      <c r="G1364" s="118" t="s">
        <v>641</v>
      </c>
    </row>
    <row r="1365">
      <c r="A1365" s="117">
        <v>45985.44469773148</v>
      </c>
      <c r="B1365" s="60" t="s">
        <v>392</v>
      </c>
      <c r="C1365" s="60" t="s">
        <v>626</v>
      </c>
      <c r="D1365" s="60">
        <v>11.0</v>
      </c>
      <c r="E1365" s="60">
        <v>0.4</v>
      </c>
      <c r="F1365" s="60">
        <v>4.44</v>
      </c>
      <c r="G1365" s="118" t="s">
        <v>641</v>
      </c>
    </row>
    <row r="1366">
      <c r="A1366" s="117">
        <v>45985.44469773148</v>
      </c>
      <c r="B1366" s="60" t="s">
        <v>392</v>
      </c>
      <c r="C1366" s="60" t="s">
        <v>111</v>
      </c>
      <c r="D1366" s="60">
        <v>0.12</v>
      </c>
      <c r="E1366" s="60">
        <v>24.0</v>
      </c>
      <c r="F1366" s="60">
        <v>2.88</v>
      </c>
      <c r="G1366" s="118" t="s">
        <v>641</v>
      </c>
    </row>
    <row r="1367">
      <c r="A1367" s="117">
        <v>45985.44469773148</v>
      </c>
      <c r="B1367" s="60" t="s">
        <v>392</v>
      </c>
      <c r="C1367" s="60" t="s">
        <v>212</v>
      </c>
      <c r="D1367" s="60">
        <v>0.33</v>
      </c>
      <c r="E1367" s="60">
        <v>8.0</v>
      </c>
      <c r="F1367" s="60">
        <v>2.64</v>
      </c>
      <c r="G1367" s="118" t="s">
        <v>641</v>
      </c>
    </row>
    <row r="1368">
      <c r="A1368" s="117">
        <v>45985.44469773148</v>
      </c>
      <c r="B1368" s="60" t="s">
        <v>392</v>
      </c>
      <c r="C1368" s="60" t="s">
        <v>291</v>
      </c>
      <c r="D1368" s="60">
        <v>0.58</v>
      </c>
      <c r="E1368" s="60">
        <v>32.0</v>
      </c>
      <c r="F1368" s="60">
        <v>18.56</v>
      </c>
      <c r="G1368" s="118" t="s">
        <v>641</v>
      </c>
    </row>
    <row r="1369">
      <c r="A1369" s="117">
        <v>45985.44469773148</v>
      </c>
      <c r="B1369" s="60" t="s">
        <v>397</v>
      </c>
      <c r="C1369" s="60" t="s">
        <v>642</v>
      </c>
      <c r="D1369" s="60">
        <v>1.0</v>
      </c>
      <c r="E1369" s="60">
        <v>5.0</v>
      </c>
      <c r="F1369" s="60">
        <v>5.0</v>
      </c>
      <c r="G1369" s="118" t="s">
        <v>641</v>
      </c>
    </row>
    <row r="1370">
      <c r="A1370" s="117">
        <v>45985.44469773148</v>
      </c>
      <c r="B1370" s="60" t="s">
        <v>397</v>
      </c>
      <c r="C1370" s="60" t="s">
        <v>608</v>
      </c>
      <c r="D1370" s="60">
        <v>2.0</v>
      </c>
      <c r="E1370" s="60">
        <v>2.0</v>
      </c>
      <c r="F1370" s="60">
        <v>4.0</v>
      </c>
      <c r="G1370" s="118" t="s">
        <v>641</v>
      </c>
    </row>
    <row r="1371">
      <c r="A1371" s="117">
        <v>45985.44469773148</v>
      </c>
      <c r="B1371" s="60" t="s">
        <v>397</v>
      </c>
      <c r="C1371" s="60" t="s">
        <v>479</v>
      </c>
      <c r="D1371" s="60">
        <v>2.5</v>
      </c>
      <c r="E1371" s="60">
        <v>1.0</v>
      </c>
      <c r="F1371" s="60">
        <v>2.5</v>
      </c>
      <c r="G1371" s="118" t="s">
        <v>641</v>
      </c>
    </row>
    <row r="1372">
      <c r="A1372" s="117">
        <v>45985.44469773148</v>
      </c>
      <c r="B1372" s="60" t="s">
        <v>395</v>
      </c>
      <c r="C1372" s="60" t="s">
        <v>316</v>
      </c>
      <c r="D1372" s="60">
        <v>0.05</v>
      </c>
      <c r="E1372" s="60">
        <v>80.0</v>
      </c>
      <c r="F1372" s="60">
        <v>4.0</v>
      </c>
      <c r="G1372" s="118" t="s">
        <v>641</v>
      </c>
    </row>
    <row r="1373">
      <c r="A1373" s="117">
        <v>45985.44469773148</v>
      </c>
      <c r="B1373" s="60" t="s">
        <v>395</v>
      </c>
      <c r="C1373" s="60" t="s">
        <v>468</v>
      </c>
      <c r="D1373" s="60">
        <v>0.27</v>
      </c>
      <c r="E1373" s="60">
        <v>92.0</v>
      </c>
      <c r="F1373" s="60">
        <v>24.84</v>
      </c>
      <c r="G1373" s="118" t="s">
        <v>641</v>
      </c>
    </row>
    <row r="1374">
      <c r="A1374" s="117">
        <v>45985.44469773148</v>
      </c>
      <c r="B1374" s="60" t="s">
        <v>395</v>
      </c>
      <c r="C1374" s="60" t="s">
        <v>218</v>
      </c>
      <c r="D1374" s="60">
        <v>0.08</v>
      </c>
      <c r="E1374" s="60">
        <v>54.0</v>
      </c>
      <c r="F1374" s="60">
        <v>4.32</v>
      </c>
      <c r="G1374" s="118" t="s">
        <v>641</v>
      </c>
    </row>
    <row r="1375">
      <c r="A1375" s="117">
        <v>45985.44469773148</v>
      </c>
      <c r="B1375" s="60" t="s">
        <v>395</v>
      </c>
      <c r="C1375" s="60" t="s">
        <v>294</v>
      </c>
      <c r="D1375" s="60">
        <v>0.05</v>
      </c>
      <c r="E1375" s="60">
        <v>20.0</v>
      </c>
      <c r="F1375" s="60">
        <v>1.0</v>
      </c>
      <c r="G1375" s="118" t="s">
        <v>641</v>
      </c>
    </row>
    <row r="1376">
      <c r="A1376" s="117">
        <v>45985.44469773148</v>
      </c>
      <c r="B1376" s="60" t="s">
        <v>395</v>
      </c>
      <c r="C1376" s="60" t="s">
        <v>205</v>
      </c>
      <c r="D1376" s="60">
        <v>0.08</v>
      </c>
      <c r="E1376" s="60">
        <v>30.0</v>
      </c>
      <c r="F1376" s="60">
        <v>2.4</v>
      </c>
      <c r="G1376" s="118" t="s">
        <v>641</v>
      </c>
    </row>
    <row r="1377">
      <c r="A1377" s="117">
        <v>45985.975094884256</v>
      </c>
      <c r="B1377" s="60" t="s">
        <v>392</v>
      </c>
      <c r="C1377" s="60" t="s">
        <v>170</v>
      </c>
      <c r="D1377" s="60">
        <v>0.0</v>
      </c>
      <c r="E1377" s="60">
        <v>2.5</v>
      </c>
      <c r="F1377" s="60">
        <v>0.0</v>
      </c>
      <c r="G1377" s="118" t="s">
        <v>643</v>
      </c>
    </row>
    <row r="1378">
      <c r="A1378" s="117">
        <v>45985.975094884256</v>
      </c>
      <c r="B1378" s="60" t="s">
        <v>392</v>
      </c>
      <c r="C1378" s="60" t="s">
        <v>429</v>
      </c>
      <c r="D1378" s="60">
        <v>10.0</v>
      </c>
      <c r="E1378" s="60">
        <v>1.0</v>
      </c>
      <c r="F1378" s="60">
        <v>10.0</v>
      </c>
      <c r="G1378" s="118" t="s">
        <v>643</v>
      </c>
    </row>
    <row r="1379">
      <c r="A1379" s="117">
        <v>45985.975094884256</v>
      </c>
      <c r="B1379" s="60" t="s">
        <v>392</v>
      </c>
      <c r="C1379" s="60" t="s">
        <v>294</v>
      </c>
      <c r="D1379" s="60">
        <v>0.05</v>
      </c>
      <c r="E1379" s="60">
        <v>35.0</v>
      </c>
      <c r="F1379" s="60">
        <v>1.75</v>
      </c>
      <c r="G1379" s="118" t="s">
        <v>643</v>
      </c>
    </row>
    <row r="1380">
      <c r="A1380" s="117">
        <v>45985.975094884256</v>
      </c>
      <c r="B1380" s="60" t="s">
        <v>392</v>
      </c>
      <c r="C1380" s="60" t="s">
        <v>202</v>
      </c>
      <c r="D1380" s="60">
        <v>0.17</v>
      </c>
      <c r="E1380" s="60">
        <v>35.0</v>
      </c>
      <c r="F1380" s="60">
        <v>5.95</v>
      </c>
      <c r="G1380" s="118" t="s">
        <v>643</v>
      </c>
    </row>
    <row r="1381">
      <c r="A1381" s="117">
        <v>45985.975094884256</v>
      </c>
      <c r="B1381" s="60" t="s">
        <v>392</v>
      </c>
      <c r="C1381" s="60" t="s">
        <v>212</v>
      </c>
      <c r="D1381" s="60">
        <v>0.33</v>
      </c>
      <c r="E1381" s="60">
        <v>10.0</v>
      </c>
      <c r="F1381" s="60">
        <v>3.3</v>
      </c>
      <c r="G1381" s="118" t="s">
        <v>643</v>
      </c>
    </row>
    <row r="1382">
      <c r="A1382" s="117">
        <v>45985.975094884256</v>
      </c>
      <c r="B1382" s="60" t="s">
        <v>395</v>
      </c>
      <c r="C1382" s="60" t="s">
        <v>437</v>
      </c>
      <c r="D1382" s="60">
        <v>0.03</v>
      </c>
      <c r="E1382" s="60">
        <v>33.0</v>
      </c>
      <c r="F1382" s="60">
        <v>0.99</v>
      </c>
      <c r="G1382" s="118" t="s">
        <v>643</v>
      </c>
    </row>
    <row r="1383">
      <c r="A1383" s="117">
        <v>45985.975094884256</v>
      </c>
      <c r="B1383" s="60" t="s">
        <v>395</v>
      </c>
      <c r="C1383" s="60" t="s">
        <v>104</v>
      </c>
      <c r="D1383" s="60">
        <v>0.05</v>
      </c>
      <c r="E1383" s="60">
        <v>26.0</v>
      </c>
      <c r="F1383" s="60">
        <v>1.3</v>
      </c>
      <c r="G1383" s="118" t="s">
        <v>643</v>
      </c>
    </row>
    <row r="1384">
      <c r="A1384" s="117">
        <v>45985.975094884256</v>
      </c>
      <c r="B1384" s="60" t="s">
        <v>395</v>
      </c>
      <c r="C1384" s="60" t="s">
        <v>644</v>
      </c>
      <c r="D1384" s="60">
        <v>1.0</v>
      </c>
      <c r="E1384" s="60">
        <v>0.2</v>
      </c>
      <c r="F1384" s="60">
        <v>0.2</v>
      </c>
      <c r="G1384" s="118" t="s">
        <v>643</v>
      </c>
    </row>
    <row r="1385">
      <c r="A1385" s="117">
        <v>45985.975094884256</v>
      </c>
      <c r="B1385" s="60" t="s">
        <v>395</v>
      </c>
      <c r="C1385" s="60" t="s">
        <v>645</v>
      </c>
      <c r="D1385" s="60">
        <v>1.0</v>
      </c>
      <c r="E1385" s="60">
        <v>11.6</v>
      </c>
      <c r="F1385" s="60">
        <v>11.6</v>
      </c>
      <c r="G1385" s="118" t="s">
        <v>643</v>
      </c>
    </row>
    <row r="1386">
      <c r="A1386" s="117">
        <v>45985.975094884256</v>
      </c>
      <c r="B1386" s="60" t="s">
        <v>395</v>
      </c>
      <c r="C1386" s="60" t="s">
        <v>205</v>
      </c>
      <c r="D1386" s="60">
        <v>0.08</v>
      </c>
      <c r="E1386" s="60">
        <v>30.0</v>
      </c>
      <c r="F1386" s="60">
        <v>2.4</v>
      </c>
      <c r="G1386" s="118" t="s">
        <v>643</v>
      </c>
    </row>
    <row r="1387">
      <c r="A1387" s="117">
        <v>45984.57394480324</v>
      </c>
      <c r="B1387" s="60" t="s">
        <v>392</v>
      </c>
      <c r="C1387" s="60" t="s">
        <v>170</v>
      </c>
      <c r="D1387" s="60">
        <v>0.0</v>
      </c>
      <c r="E1387" s="60">
        <v>2.5</v>
      </c>
      <c r="F1387" s="60">
        <v>0.0</v>
      </c>
      <c r="G1387" s="118" t="s">
        <v>646</v>
      </c>
    </row>
    <row r="1388">
      <c r="A1388" s="117">
        <v>45984.57394480324</v>
      </c>
      <c r="B1388" s="60" t="s">
        <v>392</v>
      </c>
      <c r="C1388" s="60" t="s">
        <v>212</v>
      </c>
      <c r="D1388" s="60">
        <v>0.33</v>
      </c>
      <c r="E1388" s="60">
        <v>10.0</v>
      </c>
      <c r="F1388" s="60">
        <v>3.3</v>
      </c>
      <c r="G1388" s="118" t="s">
        <v>646</v>
      </c>
    </row>
    <row r="1389">
      <c r="A1389" s="117">
        <v>45984.57394480324</v>
      </c>
      <c r="B1389" s="60" t="s">
        <v>392</v>
      </c>
      <c r="C1389" s="60" t="s">
        <v>125</v>
      </c>
      <c r="D1389" s="60">
        <v>0.08</v>
      </c>
      <c r="E1389" s="60">
        <v>60.0</v>
      </c>
      <c r="F1389" s="60">
        <v>4.8</v>
      </c>
      <c r="G1389" s="118" t="s">
        <v>646</v>
      </c>
    </row>
    <row r="1390">
      <c r="A1390" s="117">
        <v>45984.57394480324</v>
      </c>
      <c r="B1390" s="60" t="s">
        <v>392</v>
      </c>
      <c r="C1390" s="60" t="s">
        <v>436</v>
      </c>
      <c r="D1390" s="60">
        <v>4.0</v>
      </c>
      <c r="E1390" s="60">
        <v>1.0</v>
      </c>
      <c r="F1390" s="60">
        <v>4.0</v>
      </c>
      <c r="G1390" s="118" t="s">
        <v>646</v>
      </c>
    </row>
    <row r="1391">
      <c r="A1391" s="117">
        <v>45984.57394480324</v>
      </c>
      <c r="B1391" s="60" t="s">
        <v>392</v>
      </c>
      <c r="C1391" s="60" t="s">
        <v>429</v>
      </c>
      <c r="D1391" s="60">
        <v>10.0</v>
      </c>
      <c r="E1391" s="60">
        <v>1.0</v>
      </c>
      <c r="F1391" s="60">
        <v>10.0</v>
      </c>
      <c r="G1391" s="118" t="s">
        <v>646</v>
      </c>
    </row>
    <row r="1392">
      <c r="A1392" s="119"/>
      <c r="B1392" s="120"/>
      <c r="C1392" s="116"/>
      <c r="D1392" s="116"/>
      <c r="E1392" s="116"/>
      <c r="F1392" s="116"/>
      <c r="G1392" s="116"/>
    </row>
    <row r="1393">
      <c r="A1393" s="119"/>
      <c r="B1393" s="120"/>
      <c r="C1393" s="116"/>
      <c r="D1393" s="116"/>
      <c r="E1393" s="116"/>
      <c r="F1393" s="116"/>
      <c r="G1393" s="116"/>
    </row>
    <row r="1394">
      <c r="A1394" s="119"/>
      <c r="B1394" s="120"/>
      <c r="C1394" s="116"/>
      <c r="D1394" s="116"/>
      <c r="E1394" s="116"/>
      <c r="F1394" s="116"/>
      <c r="G1394" s="116"/>
    </row>
    <row r="1395">
      <c r="A1395" s="119"/>
      <c r="B1395" s="120"/>
      <c r="C1395" s="116"/>
      <c r="D1395" s="116"/>
      <c r="E1395" s="116"/>
      <c r="F1395" s="116"/>
      <c r="G1395" s="116"/>
    </row>
    <row r="1396">
      <c r="A1396" s="119"/>
      <c r="B1396" s="120"/>
      <c r="C1396" s="116"/>
      <c r="D1396" s="116"/>
      <c r="E1396" s="116"/>
      <c r="F1396" s="116"/>
      <c r="G1396" s="116"/>
    </row>
    <row r="1397">
      <c r="A1397" s="119"/>
      <c r="B1397" s="120"/>
      <c r="C1397" s="116"/>
      <c r="D1397" s="116"/>
      <c r="E1397" s="116"/>
      <c r="F1397" s="116"/>
      <c r="G1397" s="116"/>
    </row>
    <row r="1398">
      <c r="A1398" s="119"/>
      <c r="B1398" s="120"/>
      <c r="C1398" s="116"/>
      <c r="D1398" s="116"/>
      <c r="E1398" s="116"/>
      <c r="F1398" s="116"/>
      <c r="G1398" s="116"/>
    </row>
    <row r="1399">
      <c r="A1399" s="119"/>
      <c r="B1399" s="120"/>
      <c r="C1399" s="116"/>
      <c r="D1399" s="116"/>
      <c r="E1399" s="116"/>
      <c r="F1399" s="116"/>
      <c r="G1399" s="116"/>
    </row>
    <row r="1400">
      <c r="A1400" s="119"/>
      <c r="B1400" s="120"/>
      <c r="C1400" s="116"/>
      <c r="D1400" s="116"/>
      <c r="E1400" s="116"/>
      <c r="F1400" s="116"/>
      <c r="G1400" s="116"/>
    </row>
    <row r="1401">
      <c r="A1401" s="119"/>
      <c r="B1401" s="120"/>
      <c r="C1401" s="116"/>
      <c r="D1401" s="116"/>
      <c r="E1401" s="116"/>
      <c r="F1401" s="116"/>
      <c r="G1401" s="116"/>
    </row>
    <row r="1402">
      <c r="A1402" s="119"/>
      <c r="B1402" s="120"/>
      <c r="C1402" s="116"/>
      <c r="D1402" s="116"/>
      <c r="E1402" s="116"/>
      <c r="F1402" s="116"/>
      <c r="G1402" s="116"/>
    </row>
    <row r="1403">
      <c r="A1403" s="119"/>
      <c r="B1403" s="120"/>
      <c r="C1403" s="116"/>
      <c r="D1403" s="116"/>
      <c r="E1403" s="116"/>
      <c r="F1403" s="116"/>
      <c r="G1403" s="116"/>
    </row>
    <row r="1404">
      <c r="A1404" s="119"/>
      <c r="B1404" s="120"/>
      <c r="C1404" s="116"/>
      <c r="D1404" s="116"/>
      <c r="E1404" s="116"/>
      <c r="F1404" s="116"/>
      <c r="G1404" s="116"/>
    </row>
    <row r="1405">
      <c r="A1405" s="119"/>
      <c r="B1405" s="120"/>
      <c r="C1405" s="116"/>
      <c r="D1405" s="116"/>
      <c r="E1405" s="116"/>
      <c r="F1405" s="116"/>
      <c r="G1405" s="116"/>
    </row>
    <row r="1406">
      <c r="A1406" s="119"/>
      <c r="B1406" s="120"/>
      <c r="C1406" s="116"/>
      <c r="D1406" s="116"/>
      <c r="E1406" s="116"/>
      <c r="F1406" s="116"/>
      <c r="G1406" s="116"/>
    </row>
    <row r="1407">
      <c r="A1407" s="119"/>
      <c r="B1407" s="120"/>
      <c r="C1407" s="116"/>
      <c r="D1407" s="116"/>
      <c r="E1407" s="116"/>
      <c r="F1407" s="116"/>
      <c r="G1407" s="116"/>
    </row>
    <row r="1408">
      <c r="A1408" s="119"/>
      <c r="B1408" s="120"/>
      <c r="C1408" s="116"/>
      <c r="D1408" s="116"/>
      <c r="E1408" s="116"/>
      <c r="F1408" s="116"/>
      <c r="G1408" s="116"/>
    </row>
    <row r="1409">
      <c r="A1409" s="119"/>
      <c r="B1409" s="120"/>
      <c r="C1409" s="116"/>
      <c r="D1409" s="116"/>
      <c r="E1409" s="116"/>
      <c r="F1409" s="116"/>
      <c r="G1409" s="116"/>
    </row>
    <row r="1410">
      <c r="A1410" s="119"/>
      <c r="B1410" s="120"/>
      <c r="C1410" s="116"/>
      <c r="D1410" s="116"/>
      <c r="E1410" s="116"/>
      <c r="F1410" s="116"/>
      <c r="G1410" s="116"/>
    </row>
    <row r="1411">
      <c r="A1411" s="119"/>
      <c r="B1411" s="120"/>
      <c r="C1411" s="116"/>
      <c r="D1411" s="116"/>
      <c r="E1411" s="116"/>
      <c r="F1411" s="116"/>
      <c r="G1411" s="116"/>
    </row>
    <row r="1412">
      <c r="A1412" s="119"/>
      <c r="B1412" s="120"/>
      <c r="C1412" s="116"/>
      <c r="D1412" s="116"/>
      <c r="E1412" s="116"/>
      <c r="F1412" s="116"/>
      <c r="G1412" s="116"/>
    </row>
    <row r="1413">
      <c r="A1413" s="119"/>
      <c r="B1413" s="120"/>
      <c r="C1413" s="116"/>
      <c r="D1413" s="116"/>
      <c r="E1413" s="116"/>
      <c r="F1413" s="116"/>
      <c r="G1413" s="116"/>
    </row>
    <row r="1414">
      <c r="A1414" s="119"/>
      <c r="B1414" s="120"/>
      <c r="C1414" s="116"/>
      <c r="D1414" s="116"/>
      <c r="E1414" s="116"/>
      <c r="F1414" s="116"/>
      <c r="G1414" s="116"/>
    </row>
    <row r="1415">
      <c r="A1415" s="119"/>
      <c r="B1415" s="120"/>
      <c r="C1415" s="116"/>
      <c r="D1415" s="116"/>
      <c r="E1415" s="116"/>
      <c r="F1415" s="116"/>
      <c r="G1415" s="116"/>
    </row>
    <row r="1416">
      <c r="A1416" s="119"/>
      <c r="B1416" s="120"/>
      <c r="C1416" s="116"/>
      <c r="D1416" s="116"/>
      <c r="E1416" s="116"/>
      <c r="F1416" s="116"/>
      <c r="G1416" s="116"/>
    </row>
    <row r="1417">
      <c r="A1417" s="119"/>
      <c r="B1417" s="120"/>
      <c r="C1417" s="116"/>
      <c r="D1417" s="116"/>
      <c r="E1417" s="116"/>
      <c r="F1417" s="116"/>
      <c r="G1417" s="116"/>
    </row>
    <row r="1418">
      <c r="A1418" s="119"/>
      <c r="B1418" s="120"/>
      <c r="C1418" s="116"/>
      <c r="D1418" s="116"/>
      <c r="E1418" s="116"/>
      <c r="F1418" s="116"/>
      <c r="G1418" s="116"/>
    </row>
    <row r="1419">
      <c r="A1419" s="119"/>
      <c r="B1419" s="120"/>
      <c r="C1419" s="116"/>
      <c r="D1419" s="116"/>
      <c r="E1419" s="116"/>
      <c r="F1419" s="116"/>
      <c r="G1419" s="116"/>
    </row>
    <row r="1420">
      <c r="A1420" s="119"/>
      <c r="B1420" s="120"/>
      <c r="C1420" s="116"/>
      <c r="D1420" s="116"/>
      <c r="E1420" s="116"/>
      <c r="F1420" s="116"/>
      <c r="G1420" s="116"/>
    </row>
    <row r="1421">
      <c r="A1421" s="119"/>
      <c r="B1421" s="120"/>
      <c r="C1421" s="116"/>
      <c r="D1421" s="116"/>
      <c r="E1421" s="116"/>
      <c r="F1421" s="116"/>
      <c r="G1421" s="116"/>
    </row>
    <row r="1422">
      <c r="A1422" s="119"/>
      <c r="B1422" s="120"/>
      <c r="C1422" s="116"/>
      <c r="D1422" s="116"/>
      <c r="E1422" s="116"/>
      <c r="F1422" s="116"/>
      <c r="G1422" s="116"/>
    </row>
    <row r="1423">
      <c r="A1423" s="119"/>
      <c r="B1423" s="120"/>
      <c r="C1423" s="116"/>
      <c r="D1423" s="116"/>
      <c r="E1423" s="116"/>
      <c r="F1423" s="116"/>
      <c r="G1423" s="116"/>
    </row>
    <row r="1424">
      <c r="A1424" s="119"/>
      <c r="B1424" s="120"/>
      <c r="C1424" s="116"/>
      <c r="D1424" s="116"/>
      <c r="E1424" s="116"/>
      <c r="F1424" s="116"/>
      <c r="G1424" s="116"/>
    </row>
    <row r="1425">
      <c r="A1425" s="119"/>
      <c r="B1425" s="120"/>
      <c r="C1425" s="116"/>
      <c r="D1425" s="116"/>
      <c r="E1425" s="116"/>
      <c r="F1425" s="116"/>
      <c r="G1425" s="116"/>
    </row>
    <row r="1426">
      <c r="A1426" s="119"/>
      <c r="B1426" s="120"/>
      <c r="C1426" s="116"/>
      <c r="D1426" s="116"/>
      <c r="E1426" s="116"/>
      <c r="F1426" s="116"/>
      <c r="G1426" s="116"/>
    </row>
    <row r="1427">
      <c r="A1427" s="119"/>
      <c r="B1427" s="120"/>
      <c r="C1427" s="116"/>
      <c r="D1427" s="116"/>
      <c r="E1427" s="116"/>
      <c r="F1427" s="116"/>
      <c r="G1427" s="116"/>
    </row>
    <row r="1428">
      <c r="A1428" s="119"/>
      <c r="B1428" s="120"/>
      <c r="C1428" s="116"/>
      <c r="D1428" s="116"/>
      <c r="E1428" s="116"/>
      <c r="F1428" s="116"/>
      <c r="G1428" s="116"/>
    </row>
    <row r="1429">
      <c r="A1429" s="119"/>
      <c r="B1429" s="120"/>
      <c r="C1429" s="116"/>
      <c r="D1429" s="116"/>
      <c r="E1429" s="116"/>
      <c r="F1429" s="116"/>
      <c r="G1429" s="116"/>
    </row>
    <row r="1430">
      <c r="A1430" s="119"/>
      <c r="B1430" s="120"/>
      <c r="C1430" s="116"/>
      <c r="D1430" s="116"/>
      <c r="E1430" s="116"/>
      <c r="F1430" s="116"/>
      <c r="G1430" s="116"/>
    </row>
    <row r="1431">
      <c r="A1431" s="119"/>
      <c r="B1431" s="120"/>
      <c r="C1431" s="116"/>
      <c r="D1431" s="116"/>
      <c r="E1431" s="116"/>
      <c r="F1431" s="116"/>
      <c r="G1431" s="116"/>
    </row>
    <row r="1432">
      <c r="A1432" s="119"/>
      <c r="B1432" s="120"/>
      <c r="C1432" s="116"/>
      <c r="D1432" s="116"/>
      <c r="E1432" s="116"/>
      <c r="F1432" s="116"/>
      <c r="G1432" s="116"/>
    </row>
    <row r="1433">
      <c r="A1433" s="119"/>
      <c r="B1433" s="120"/>
      <c r="C1433" s="116"/>
      <c r="D1433" s="116"/>
      <c r="E1433" s="116"/>
      <c r="F1433" s="116"/>
      <c r="G1433" s="116"/>
    </row>
    <row r="1434">
      <c r="A1434" s="119"/>
      <c r="B1434" s="120"/>
      <c r="C1434" s="116"/>
      <c r="D1434" s="116"/>
      <c r="E1434" s="116"/>
      <c r="F1434" s="116"/>
      <c r="G1434" s="116"/>
    </row>
    <row r="1435">
      <c r="A1435" s="119"/>
      <c r="B1435" s="120"/>
      <c r="C1435" s="116"/>
      <c r="D1435" s="116"/>
      <c r="E1435" s="116"/>
      <c r="F1435" s="116"/>
      <c r="G1435" s="116"/>
    </row>
    <row r="1436">
      <c r="A1436" s="119"/>
      <c r="B1436" s="120"/>
      <c r="C1436" s="116"/>
      <c r="D1436" s="116"/>
      <c r="E1436" s="116"/>
      <c r="F1436" s="116"/>
      <c r="G1436" s="116"/>
    </row>
    <row r="1437">
      <c r="A1437" s="119"/>
      <c r="B1437" s="120"/>
      <c r="C1437" s="116"/>
      <c r="D1437" s="116"/>
      <c r="E1437" s="116"/>
      <c r="F1437" s="116"/>
      <c r="G1437" s="116"/>
    </row>
    <row r="1438">
      <c r="A1438" s="119"/>
      <c r="B1438" s="120"/>
      <c r="C1438" s="116"/>
      <c r="D1438" s="116"/>
      <c r="E1438" s="116"/>
      <c r="F1438" s="116"/>
      <c r="G1438" s="116"/>
    </row>
    <row r="1439">
      <c r="A1439" s="119"/>
      <c r="B1439" s="120"/>
      <c r="C1439" s="116"/>
      <c r="D1439" s="116"/>
      <c r="E1439" s="116"/>
      <c r="F1439" s="116"/>
      <c r="G1439" s="116"/>
    </row>
    <row r="1440">
      <c r="A1440" s="119"/>
      <c r="B1440" s="120"/>
      <c r="C1440" s="116"/>
      <c r="D1440" s="116"/>
      <c r="E1440" s="116"/>
      <c r="F1440" s="116"/>
      <c r="G1440" s="116"/>
    </row>
    <row r="1441">
      <c r="A1441" s="119"/>
      <c r="B1441" s="120"/>
      <c r="C1441" s="116"/>
      <c r="D1441" s="116"/>
      <c r="E1441" s="116"/>
      <c r="F1441" s="116"/>
      <c r="G1441" s="116"/>
    </row>
    <row r="1442">
      <c r="A1442" s="119"/>
      <c r="B1442" s="120"/>
      <c r="C1442" s="116"/>
      <c r="D1442" s="116"/>
      <c r="E1442" s="116"/>
      <c r="F1442" s="116"/>
      <c r="G1442" s="116"/>
    </row>
    <row r="1443">
      <c r="A1443" s="119"/>
      <c r="B1443" s="120"/>
      <c r="C1443" s="116"/>
      <c r="D1443" s="116"/>
      <c r="E1443" s="116"/>
      <c r="F1443" s="116"/>
      <c r="G1443" s="116"/>
    </row>
    <row r="1444">
      <c r="A1444" s="119"/>
      <c r="B1444" s="120"/>
      <c r="C1444" s="116"/>
      <c r="D1444" s="116"/>
      <c r="E1444" s="116"/>
      <c r="F1444" s="116"/>
      <c r="G1444" s="116"/>
    </row>
    <row r="1445">
      <c r="A1445" s="119"/>
      <c r="B1445" s="120"/>
      <c r="C1445" s="116"/>
      <c r="D1445" s="116"/>
      <c r="E1445" s="116"/>
      <c r="F1445" s="116"/>
      <c r="G1445" s="116"/>
    </row>
    <row r="1446">
      <c r="A1446" s="119"/>
      <c r="B1446" s="120"/>
      <c r="C1446" s="116"/>
      <c r="D1446" s="116"/>
      <c r="E1446" s="116"/>
      <c r="F1446" s="116"/>
      <c r="G1446" s="116"/>
    </row>
    <row r="1447">
      <c r="A1447" s="119"/>
      <c r="B1447" s="120"/>
      <c r="C1447" s="116"/>
      <c r="D1447" s="116"/>
      <c r="E1447" s="116"/>
      <c r="F1447" s="116"/>
      <c r="G1447" s="116"/>
    </row>
    <row r="1448">
      <c r="A1448" s="119"/>
      <c r="B1448" s="120"/>
      <c r="C1448" s="116"/>
      <c r="D1448" s="116"/>
      <c r="E1448" s="116"/>
      <c r="F1448" s="116"/>
      <c r="G1448" s="116"/>
    </row>
    <row r="1449">
      <c r="A1449" s="119"/>
      <c r="B1449" s="120"/>
      <c r="C1449" s="116"/>
      <c r="D1449" s="116"/>
      <c r="E1449" s="116"/>
      <c r="F1449" s="116"/>
      <c r="G1449" s="116"/>
    </row>
    <row r="1450">
      <c r="A1450" s="119"/>
      <c r="B1450" s="120"/>
      <c r="C1450" s="116"/>
      <c r="D1450" s="116"/>
      <c r="E1450" s="116"/>
      <c r="F1450" s="116"/>
      <c r="G1450" s="116"/>
    </row>
    <row r="1451">
      <c r="A1451" s="119"/>
      <c r="B1451" s="120"/>
      <c r="C1451" s="116"/>
      <c r="D1451" s="116"/>
      <c r="E1451" s="116"/>
      <c r="F1451" s="116"/>
      <c r="G1451" s="116"/>
    </row>
    <row r="1452">
      <c r="A1452" s="119"/>
      <c r="B1452" s="120"/>
      <c r="C1452" s="116"/>
      <c r="D1452" s="116"/>
      <c r="E1452" s="116"/>
      <c r="F1452" s="116"/>
      <c r="G1452" s="116"/>
    </row>
    <row r="1453">
      <c r="A1453" s="119"/>
      <c r="B1453" s="120"/>
      <c r="C1453" s="116"/>
      <c r="D1453" s="116"/>
      <c r="E1453" s="116"/>
      <c r="F1453" s="116"/>
      <c r="G1453" s="116"/>
    </row>
    <row r="1454">
      <c r="A1454" s="119"/>
      <c r="B1454" s="120"/>
      <c r="C1454" s="116"/>
      <c r="D1454" s="116"/>
      <c r="E1454" s="116"/>
      <c r="F1454" s="116"/>
      <c r="G1454" s="116"/>
    </row>
    <row r="1455">
      <c r="A1455" s="119"/>
      <c r="B1455" s="120"/>
      <c r="C1455" s="116"/>
      <c r="D1455" s="116"/>
      <c r="E1455" s="116"/>
      <c r="F1455" s="116"/>
      <c r="G1455" s="116"/>
    </row>
    <row r="1456">
      <c r="A1456" s="119"/>
      <c r="B1456" s="120"/>
      <c r="C1456" s="116"/>
      <c r="D1456" s="116"/>
      <c r="E1456" s="116"/>
      <c r="F1456" s="116"/>
      <c r="G1456" s="116"/>
    </row>
    <row r="1457">
      <c r="A1457" s="119"/>
      <c r="B1457" s="120"/>
      <c r="C1457" s="116"/>
      <c r="D1457" s="116"/>
      <c r="E1457" s="116"/>
      <c r="F1457" s="116"/>
      <c r="G1457" s="116"/>
    </row>
    <row r="1458">
      <c r="A1458" s="119"/>
      <c r="B1458" s="120"/>
      <c r="C1458" s="116"/>
      <c r="D1458" s="116"/>
      <c r="E1458" s="116"/>
      <c r="F1458" s="116"/>
      <c r="G1458" s="116"/>
    </row>
    <row r="1459">
      <c r="A1459" s="119"/>
      <c r="B1459" s="120"/>
      <c r="C1459" s="116"/>
      <c r="D1459" s="116"/>
      <c r="E1459" s="116"/>
      <c r="F1459" s="116"/>
      <c r="G1459" s="116"/>
    </row>
    <row r="1460">
      <c r="A1460" s="119"/>
      <c r="B1460" s="120"/>
      <c r="C1460" s="116"/>
      <c r="D1460" s="116"/>
      <c r="E1460" s="116"/>
      <c r="F1460" s="116"/>
      <c r="G1460" s="116"/>
    </row>
    <row r="1461">
      <c r="A1461" s="119"/>
      <c r="B1461" s="120"/>
      <c r="C1461" s="116"/>
      <c r="D1461" s="116"/>
      <c r="E1461" s="116"/>
      <c r="F1461" s="116"/>
      <c r="G1461" s="116"/>
    </row>
    <row r="1462">
      <c r="A1462" s="119"/>
      <c r="B1462" s="120"/>
      <c r="C1462" s="116"/>
      <c r="D1462" s="116"/>
      <c r="E1462" s="116"/>
      <c r="F1462" s="116"/>
      <c r="G1462" s="116"/>
    </row>
    <row r="1463">
      <c r="A1463" s="119"/>
      <c r="B1463" s="120"/>
      <c r="C1463" s="116"/>
      <c r="D1463" s="116"/>
      <c r="E1463" s="116"/>
      <c r="F1463" s="116"/>
      <c r="G1463" s="116"/>
    </row>
    <row r="1464">
      <c r="A1464" s="119"/>
      <c r="B1464" s="120"/>
      <c r="C1464" s="116"/>
      <c r="D1464" s="116"/>
      <c r="E1464" s="116"/>
      <c r="F1464" s="116"/>
      <c r="G1464" s="116"/>
    </row>
    <row r="1465">
      <c r="A1465" s="119"/>
      <c r="B1465" s="120"/>
      <c r="C1465" s="116"/>
      <c r="D1465" s="116"/>
      <c r="E1465" s="116"/>
      <c r="F1465" s="116"/>
      <c r="G1465" s="116"/>
    </row>
    <row r="1466">
      <c r="A1466" s="119"/>
      <c r="B1466" s="120"/>
      <c r="C1466" s="116"/>
      <c r="D1466" s="116"/>
      <c r="E1466" s="116"/>
      <c r="F1466" s="116"/>
      <c r="G1466" s="116"/>
    </row>
    <row r="1467">
      <c r="A1467" s="119"/>
      <c r="B1467" s="120"/>
      <c r="C1467" s="116"/>
      <c r="D1467" s="116"/>
      <c r="E1467" s="116"/>
      <c r="F1467" s="116"/>
      <c r="G1467" s="116"/>
    </row>
    <row r="1468">
      <c r="A1468" s="119"/>
      <c r="B1468" s="120"/>
      <c r="C1468" s="116"/>
      <c r="D1468" s="116"/>
      <c r="E1468" s="116"/>
      <c r="F1468" s="116"/>
      <c r="G1468" s="116"/>
    </row>
    <row r="1469">
      <c r="A1469" s="119"/>
      <c r="B1469" s="120"/>
      <c r="C1469" s="116"/>
      <c r="D1469" s="116"/>
      <c r="E1469" s="116"/>
      <c r="F1469" s="116"/>
      <c r="G1469" s="116"/>
    </row>
    <row r="1470">
      <c r="A1470" s="119"/>
      <c r="B1470" s="120"/>
      <c r="C1470" s="116"/>
      <c r="D1470" s="116"/>
      <c r="E1470" s="116"/>
      <c r="F1470" s="116"/>
      <c r="G1470" s="116"/>
    </row>
    <row r="1471">
      <c r="A1471" s="119"/>
      <c r="B1471" s="120"/>
      <c r="C1471" s="116"/>
      <c r="D1471" s="116"/>
      <c r="E1471" s="116"/>
      <c r="F1471" s="116"/>
      <c r="G1471" s="116"/>
    </row>
    <row r="1472">
      <c r="A1472" s="119"/>
      <c r="B1472" s="120"/>
      <c r="C1472" s="116"/>
      <c r="D1472" s="116"/>
      <c r="E1472" s="116"/>
      <c r="F1472" s="116"/>
      <c r="G1472" s="116"/>
    </row>
    <row r="1473">
      <c r="A1473" s="119"/>
      <c r="B1473" s="120"/>
      <c r="C1473" s="116"/>
      <c r="D1473" s="116"/>
      <c r="E1473" s="116"/>
      <c r="F1473" s="116"/>
      <c r="G1473" s="116"/>
    </row>
    <row r="1474">
      <c r="A1474" s="119"/>
      <c r="B1474" s="120"/>
      <c r="C1474" s="116"/>
      <c r="D1474" s="116"/>
      <c r="E1474" s="116"/>
      <c r="F1474" s="116"/>
      <c r="G1474" s="116"/>
    </row>
    <row r="1475">
      <c r="A1475" s="119"/>
      <c r="B1475" s="120"/>
      <c r="C1475" s="116"/>
      <c r="D1475" s="116"/>
      <c r="E1475" s="116"/>
      <c r="F1475" s="116"/>
      <c r="G1475" s="116"/>
    </row>
    <row r="1476">
      <c r="A1476" s="119"/>
      <c r="B1476" s="120"/>
      <c r="C1476" s="116"/>
      <c r="D1476" s="116"/>
      <c r="E1476" s="116"/>
      <c r="F1476" s="116"/>
      <c r="G1476" s="116"/>
    </row>
    <row r="1477">
      <c r="A1477" s="119"/>
      <c r="B1477" s="120"/>
      <c r="C1477" s="116"/>
      <c r="D1477" s="116"/>
      <c r="E1477" s="116"/>
      <c r="F1477" s="116"/>
      <c r="G1477" s="116"/>
    </row>
    <row r="1478">
      <c r="A1478" s="119"/>
      <c r="B1478" s="120"/>
      <c r="C1478" s="116"/>
      <c r="D1478" s="116"/>
      <c r="E1478" s="116"/>
      <c r="F1478" s="116"/>
      <c r="G1478" s="116"/>
    </row>
    <row r="1479">
      <c r="A1479" s="119"/>
      <c r="B1479" s="120"/>
      <c r="C1479" s="116"/>
      <c r="D1479" s="116"/>
      <c r="E1479" s="116"/>
      <c r="F1479" s="116"/>
      <c r="G1479" s="116"/>
    </row>
    <row r="1480">
      <c r="A1480" s="119"/>
      <c r="B1480" s="120"/>
      <c r="C1480" s="116"/>
      <c r="D1480" s="116"/>
      <c r="E1480" s="116"/>
      <c r="F1480" s="116"/>
      <c r="G1480" s="116"/>
    </row>
    <row r="1481">
      <c r="A1481" s="119"/>
      <c r="B1481" s="120"/>
      <c r="C1481" s="116"/>
      <c r="D1481" s="116"/>
      <c r="E1481" s="116"/>
      <c r="F1481" s="116"/>
      <c r="G1481" s="116"/>
    </row>
    <row r="1482">
      <c r="A1482" s="119"/>
      <c r="B1482" s="120"/>
      <c r="C1482" s="116"/>
      <c r="D1482" s="116"/>
      <c r="E1482" s="116"/>
      <c r="F1482" s="116"/>
      <c r="G1482" s="116"/>
    </row>
    <row r="1483">
      <c r="A1483" s="119"/>
      <c r="B1483" s="120"/>
      <c r="C1483" s="116"/>
      <c r="D1483" s="116"/>
      <c r="E1483" s="116"/>
      <c r="F1483" s="116"/>
      <c r="G1483" s="116"/>
    </row>
    <row r="1484">
      <c r="A1484" s="119"/>
      <c r="B1484" s="120"/>
      <c r="C1484" s="116"/>
      <c r="D1484" s="116"/>
      <c r="E1484" s="116"/>
      <c r="F1484" s="116"/>
      <c r="G1484" s="116"/>
    </row>
    <row r="1485">
      <c r="A1485" s="119"/>
      <c r="B1485" s="120"/>
      <c r="C1485" s="116"/>
      <c r="D1485" s="116"/>
      <c r="E1485" s="116"/>
      <c r="F1485" s="116"/>
      <c r="G1485" s="116"/>
    </row>
    <row r="1486">
      <c r="A1486" s="119"/>
      <c r="B1486" s="120"/>
      <c r="C1486" s="116"/>
      <c r="D1486" s="116"/>
      <c r="E1486" s="116"/>
      <c r="F1486" s="116"/>
      <c r="G1486" s="116"/>
    </row>
    <row r="1487">
      <c r="A1487" s="119"/>
      <c r="B1487" s="120"/>
      <c r="C1487" s="116"/>
      <c r="D1487" s="116"/>
      <c r="E1487" s="116"/>
      <c r="F1487" s="116"/>
      <c r="G1487" s="116"/>
    </row>
    <row r="1488">
      <c r="A1488" s="119"/>
      <c r="B1488" s="120"/>
      <c r="C1488" s="116"/>
      <c r="D1488" s="116"/>
      <c r="E1488" s="116"/>
      <c r="F1488" s="116"/>
      <c r="G1488" s="116"/>
    </row>
    <row r="1489">
      <c r="A1489" s="119"/>
      <c r="B1489" s="120"/>
      <c r="C1489" s="116"/>
      <c r="D1489" s="116"/>
      <c r="E1489" s="116"/>
      <c r="F1489" s="116"/>
      <c r="G1489" s="116"/>
    </row>
    <row r="1490">
      <c r="A1490" s="119"/>
      <c r="B1490" s="120"/>
      <c r="C1490" s="116"/>
      <c r="D1490" s="116"/>
      <c r="E1490" s="116"/>
      <c r="F1490" s="116"/>
      <c r="G1490" s="116"/>
    </row>
    <row r="1491">
      <c r="A1491" s="119"/>
      <c r="B1491" s="120"/>
      <c r="C1491" s="116"/>
      <c r="D1491" s="116"/>
      <c r="E1491" s="116"/>
      <c r="F1491" s="116"/>
      <c r="G1491" s="116"/>
    </row>
    <row r="1492">
      <c r="A1492" s="119"/>
      <c r="B1492" s="120"/>
      <c r="C1492" s="116"/>
      <c r="D1492" s="116"/>
      <c r="E1492" s="116"/>
      <c r="F1492" s="116"/>
      <c r="G1492" s="116"/>
    </row>
    <row r="1493">
      <c r="A1493" s="119"/>
      <c r="B1493" s="120"/>
      <c r="C1493" s="116"/>
      <c r="D1493" s="116"/>
      <c r="E1493" s="116"/>
      <c r="F1493" s="116"/>
      <c r="G1493" s="116"/>
    </row>
    <row r="1494">
      <c r="A1494" s="119"/>
      <c r="B1494" s="120"/>
      <c r="C1494" s="116"/>
      <c r="D1494" s="116"/>
      <c r="E1494" s="116"/>
      <c r="F1494" s="116"/>
      <c r="G1494" s="116"/>
    </row>
    <row r="1495">
      <c r="A1495" s="119"/>
      <c r="B1495" s="120"/>
      <c r="C1495" s="116"/>
      <c r="D1495" s="116"/>
      <c r="E1495" s="116"/>
      <c r="F1495" s="116"/>
      <c r="G1495" s="116"/>
    </row>
    <row r="1496">
      <c r="A1496" s="119"/>
      <c r="B1496" s="120"/>
      <c r="C1496" s="116"/>
      <c r="D1496" s="116"/>
      <c r="E1496" s="116"/>
      <c r="F1496" s="116"/>
      <c r="G1496" s="116"/>
    </row>
    <row r="1497">
      <c r="A1497" s="119"/>
      <c r="B1497" s="120"/>
      <c r="C1497" s="116"/>
      <c r="D1497" s="116"/>
      <c r="E1497" s="116"/>
      <c r="F1497" s="116"/>
      <c r="G1497" s="116"/>
    </row>
    <row r="1498">
      <c r="A1498" s="119"/>
      <c r="B1498" s="120"/>
      <c r="C1498" s="116"/>
      <c r="D1498" s="116"/>
      <c r="E1498" s="116"/>
      <c r="F1498" s="116"/>
      <c r="G1498" s="116"/>
    </row>
    <row r="1499">
      <c r="A1499" s="119"/>
      <c r="B1499" s="120"/>
      <c r="C1499" s="116"/>
      <c r="D1499" s="116"/>
      <c r="E1499" s="116"/>
      <c r="F1499" s="116"/>
      <c r="G1499" s="116"/>
    </row>
    <row r="1500">
      <c r="A1500" s="119"/>
      <c r="B1500" s="120"/>
      <c r="C1500" s="116"/>
      <c r="D1500" s="116"/>
      <c r="E1500" s="116"/>
      <c r="F1500" s="116"/>
      <c r="G1500" s="116"/>
    </row>
    <row r="1501">
      <c r="A1501" s="119"/>
      <c r="B1501" s="120"/>
      <c r="C1501" s="116"/>
      <c r="D1501" s="116"/>
      <c r="E1501" s="116"/>
      <c r="F1501" s="116"/>
      <c r="G1501" s="116"/>
    </row>
    <row r="1502">
      <c r="A1502" s="119"/>
      <c r="B1502" s="120"/>
      <c r="C1502" s="116"/>
      <c r="D1502" s="116"/>
      <c r="E1502" s="116"/>
      <c r="F1502" s="116"/>
      <c r="G1502" s="116"/>
    </row>
    <row r="1503">
      <c r="A1503" s="119"/>
      <c r="B1503" s="120"/>
      <c r="C1503" s="116"/>
      <c r="D1503" s="116"/>
      <c r="E1503" s="116"/>
      <c r="F1503" s="116"/>
      <c r="G1503" s="116"/>
    </row>
    <row r="1504">
      <c r="A1504" s="119"/>
      <c r="B1504" s="120"/>
      <c r="C1504" s="116"/>
      <c r="D1504" s="116"/>
      <c r="E1504" s="116"/>
      <c r="F1504" s="116"/>
      <c r="G1504" s="116"/>
    </row>
    <row r="1505">
      <c r="A1505" s="119"/>
      <c r="B1505" s="120"/>
      <c r="C1505" s="116"/>
      <c r="D1505" s="116"/>
      <c r="E1505" s="116"/>
      <c r="F1505" s="116"/>
      <c r="G1505" s="116"/>
    </row>
    <row r="1506">
      <c r="A1506" s="119"/>
      <c r="B1506" s="120"/>
      <c r="C1506" s="116"/>
      <c r="D1506" s="116"/>
      <c r="E1506" s="116"/>
      <c r="F1506" s="116"/>
      <c r="G1506" s="116"/>
    </row>
    <row r="1507">
      <c r="A1507" s="119"/>
      <c r="B1507" s="120"/>
      <c r="C1507" s="116"/>
      <c r="D1507" s="116"/>
      <c r="E1507" s="116"/>
      <c r="F1507" s="116"/>
      <c r="G1507" s="116"/>
    </row>
    <row r="1508">
      <c r="A1508" s="119"/>
      <c r="B1508" s="120"/>
      <c r="C1508" s="116"/>
      <c r="D1508" s="116"/>
      <c r="E1508" s="116"/>
      <c r="F1508" s="116"/>
      <c r="G1508" s="116"/>
    </row>
    <row r="1509">
      <c r="A1509" s="119"/>
      <c r="B1509" s="120"/>
      <c r="C1509" s="116"/>
      <c r="D1509" s="116"/>
      <c r="E1509" s="116"/>
      <c r="F1509" s="116"/>
      <c r="G1509" s="116"/>
    </row>
    <row r="1510">
      <c r="A1510" s="119"/>
      <c r="B1510" s="120"/>
      <c r="C1510" s="116"/>
      <c r="D1510" s="116"/>
      <c r="E1510" s="116"/>
      <c r="F1510" s="116"/>
      <c r="G1510" s="116"/>
    </row>
    <row r="1511">
      <c r="A1511" s="119"/>
      <c r="B1511" s="120"/>
      <c r="C1511" s="116"/>
      <c r="D1511" s="116"/>
      <c r="E1511" s="116"/>
      <c r="F1511" s="116"/>
      <c r="G1511" s="116"/>
    </row>
    <row r="1512">
      <c r="A1512" s="119"/>
      <c r="B1512" s="120"/>
      <c r="C1512" s="116"/>
      <c r="D1512" s="116"/>
      <c r="E1512" s="116"/>
      <c r="F1512" s="116"/>
      <c r="G1512" s="116"/>
    </row>
    <row r="1513">
      <c r="A1513" s="119"/>
      <c r="B1513" s="120"/>
      <c r="C1513" s="116"/>
      <c r="D1513" s="116"/>
      <c r="E1513" s="116"/>
      <c r="F1513" s="116"/>
      <c r="G1513" s="116"/>
    </row>
    <row r="1514">
      <c r="A1514" s="119"/>
      <c r="B1514" s="120"/>
      <c r="C1514" s="116"/>
      <c r="D1514" s="116"/>
      <c r="E1514" s="116"/>
      <c r="F1514" s="116"/>
      <c r="G1514" s="116"/>
    </row>
    <row r="1515">
      <c r="A1515" s="119"/>
      <c r="B1515" s="120"/>
      <c r="C1515" s="116"/>
      <c r="D1515" s="116"/>
      <c r="E1515" s="116"/>
      <c r="F1515" s="116"/>
      <c r="G1515" s="116"/>
    </row>
    <row r="1516">
      <c r="A1516" s="119"/>
      <c r="B1516" s="120"/>
      <c r="C1516" s="116"/>
      <c r="D1516" s="116"/>
      <c r="E1516" s="116"/>
      <c r="F1516" s="116"/>
      <c r="G1516" s="116"/>
    </row>
    <row r="1517">
      <c r="A1517" s="119"/>
      <c r="B1517" s="120"/>
      <c r="C1517" s="116"/>
      <c r="D1517" s="116"/>
      <c r="E1517" s="116"/>
      <c r="F1517" s="116"/>
      <c r="G1517" s="116"/>
    </row>
    <row r="1518">
      <c r="A1518" s="119"/>
      <c r="B1518" s="120"/>
      <c r="C1518" s="116"/>
      <c r="D1518" s="116"/>
      <c r="E1518" s="116"/>
      <c r="F1518" s="116"/>
      <c r="G1518" s="116"/>
    </row>
    <row r="1519">
      <c r="A1519" s="119"/>
      <c r="B1519" s="120"/>
      <c r="C1519" s="116"/>
      <c r="D1519" s="116"/>
      <c r="E1519" s="116"/>
      <c r="F1519" s="116"/>
      <c r="G1519" s="116"/>
    </row>
    <row r="1520">
      <c r="A1520" s="119"/>
      <c r="B1520" s="120"/>
      <c r="C1520" s="116"/>
      <c r="D1520" s="116"/>
      <c r="E1520" s="116"/>
      <c r="F1520" s="116"/>
      <c r="G1520" s="116"/>
    </row>
    <row r="1521">
      <c r="A1521" s="119"/>
      <c r="B1521" s="120"/>
      <c r="C1521" s="116"/>
      <c r="D1521" s="116"/>
      <c r="E1521" s="116"/>
      <c r="F1521" s="116"/>
      <c r="G1521" s="116"/>
    </row>
    <row r="1522">
      <c r="A1522" s="119"/>
      <c r="B1522" s="120"/>
      <c r="C1522" s="116"/>
      <c r="D1522" s="116"/>
      <c r="E1522" s="116"/>
      <c r="F1522" s="116"/>
      <c r="G1522" s="116"/>
    </row>
    <row r="1523">
      <c r="A1523" s="119"/>
      <c r="B1523" s="120"/>
      <c r="C1523" s="116"/>
      <c r="D1523" s="116"/>
      <c r="E1523" s="116"/>
      <c r="F1523" s="116"/>
      <c r="G1523" s="116"/>
    </row>
    <row r="1524">
      <c r="A1524" s="119"/>
      <c r="B1524" s="120"/>
      <c r="C1524" s="116"/>
      <c r="D1524" s="116"/>
      <c r="E1524" s="116"/>
      <c r="F1524" s="116"/>
      <c r="G1524" s="116"/>
    </row>
    <row r="1525">
      <c r="A1525" s="119"/>
      <c r="B1525" s="120"/>
      <c r="C1525" s="116"/>
      <c r="D1525" s="116"/>
      <c r="E1525" s="116"/>
      <c r="F1525" s="116"/>
      <c r="G1525" s="116"/>
    </row>
    <row r="1526">
      <c r="A1526" s="119"/>
      <c r="B1526" s="120"/>
      <c r="C1526" s="116"/>
      <c r="D1526" s="116"/>
      <c r="E1526" s="116"/>
      <c r="F1526" s="116"/>
      <c r="G1526" s="116"/>
    </row>
    <row r="1527">
      <c r="A1527" s="119"/>
      <c r="B1527" s="120"/>
      <c r="C1527" s="116"/>
      <c r="D1527" s="116"/>
      <c r="E1527" s="116"/>
      <c r="F1527" s="116"/>
      <c r="G1527" s="116"/>
    </row>
    <row r="1528">
      <c r="A1528" s="119"/>
      <c r="B1528" s="120"/>
      <c r="C1528" s="116"/>
      <c r="D1528" s="116"/>
      <c r="E1528" s="116"/>
      <c r="F1528" s="116"/>
      <c r="G1528" s="116"/>
    </row>
    <row r="1529">
      <c r="A1529" s="119"/>
      <c r="B1529" s="120"/>
      <c r="C1529" s="116"/>
      <c r="D1529" s="116"/>
      <c r="E1529" s="116"/>
      <c r="F1529" s="116"/>
      <c r="G1529" s="116"/>
    </row>
    <row r="1530">
      <c r="A1530" s="119"/>
      <c r="B1530" s="120"/>
      <c r="C1530" s="116"/>
      <c r="D1530" s="116"/>
      <c r="E1530" s="116"/>
      <c r="F1530" s="116"/>
      <c r="G1530" s="116"/>
    </row>
    <row r="1531">
      <c r="A1531" s="119"/>
      <c r="B1531" s="120"/>
      <c r="C1531" s="116"/>
      <c r="D1531" s="116"/>
      <c r="E1531" s="116"/>
      <c r="F1531" s="116"/>
      <c r="G1531" s="116"/>
    </row>
    <row r="1532">
      <c r="A1532" s="119"/>
      <c r="B1532" s="120"/>
      <c r="C1532" s="116"/>
      <c r="D1532" s="116"/>
      <c r="E1532" s="116"/>
      <c r="F1532" s="116"/>
      <c r="G1532" s="116"/>
    </row>
    <row r="1533">
      <c r="A1533" s="119"/>
      <c r="B1533" s="120"/>
      <c r="C1533" s="116"/>
      <c r="D1533" s="116"/>
      <c r="E1533" s="116"/>
      <c r="F1533" s="116"/>
      <c r="G1533" s="116"/>
    </row>
    <row r="1534">
      <c r="A1534" s="119"/>
      <c r="B1534" s="120"/>
      <c r="C1534" s="116"/>
      <c r="D1534" s="116"/>
      <c r="E1534" s="116"/>
      <c r="F1534" s="116"/>
      <c r="G1534" s="116"/>
    </row>
    <row r="1535">
      <c r="A1535" s="119"/>
      <c r="B1535" s="120"/>
      <c r="C1535" s="116"/>
      <c r="D1535" s="116"/>
      <c r="E1535" s="116"/>
      <c r="F1535" s="116"/>
      <c r="G1535" s="116"/>
    </row>
    <row r="1536">
      <c r="A1536" s="119"/>
      <c r="B1536" s="120"/>
      <c r="C1536" s="116"/>
      <c r="D1536" s="116"/>
      <c r="E1536" s="116"/>
      <c r="F1536" s="116"/>
      <c r="G1536" s="116"/>
    </row>
    <row r="1537">
      <c r="A1537" s="119"/>
      <c r="B1537" s="120"/>
      <c r="C1537" s="116"/>
      <c r="D1537" s="116"/>
      <c r="E1537" s="116"/>
      <c r="F1537" s="116"/>
      <c r="G1537" s="116"/>
    </row>
    <row r="1538">
      <c r="A1538" s="119"/>
      <c r="B1538" s="120"/>
      <c r="C1538" s="116"/>
      <c r="D1538" s="116"/>
      <c r="E1538" s="116"/>
      <c r="F1538" s="116"/>
      <c r="G1538" s="116"/>
    </row>
    <row r="1539">
      <c r="A1539" s="119"/>
      <c r="B1539" s="120"/>
      <c r="C1539" s="116"/>
      <c r="D1539" s="116"/>
      <c r="E1539" s="116"/>
      <c r="F1539" s="116"/>
      <c r="G1539" s="116"/>
    </row>
    <row r="1540">
      <c r="A1540" s="119"/>
      <c r="B1540" s="120"/>
      <c r="C1540" s="116"/>
      <c r="D1540" s="116"/>
      <c r="E1540" s="116"/>
      <c r="F1540" s="116"/>
      <c r="G1540" s="116"/>
    </row>
    <row r="1541">
      <c r="A1541" s="119"/>
      <c r="B1541" s="120"/>
      <c r="C1541" s="116"/>
      <c r="D1541" s="116"/>
      <c r="E1541" s="116"/>
      <c r="F1541" s="116"/>
      <c r="G1541" s="116"/>
    </row>
    <row r="1542">
      <c r="A1542" s="119"/>
      <c r="B1542" s="120"/>
      <c r="C1542" s="116"/>
      <c r="D1542" s="116"/>
      <c r="E1542" s="116"/>
      <c r="F1542" s="116"/>
      <c r="G1542" s="116"/>
    </row>
    <row r="1543">
      <c r="A1543" s="119"/>
      <c r="B1543" s="120"/>
      <c r="C1543" s="116"/>
      <c r="D1543" s="116"/>
      <c r="E1543" s="116"/>
      <c r="F1543" s="116"/>
      <c r="G1543" s="116"/>
    </row>
    <row r="1544">
      <c r="A1544" s="119"/>
      <c r="B1544" s="120"/>
      <c r="C1544" s="116"/>
      <c r="D1544" s="116"/>
      <c r="E1544" s="116"/>
      <c r="F1544" s="116"/>
      <c r="G1544" s="116"/>
    </row>
    <row r="1545">
      <c r="A1545" s="119"/>
      <c r="B1545" s="120"/>
      <c r="C1545" s="116"/>
      <c r="D1545" s="116"/>
      <c r="E1545" s="116"/>
      <c r="F1545" s="116"/>
      <c r="G1545" s="116"/>
    </row>
    <row r="1546">
      <c r="A1546" s="119"/>
      <c r="B1546" s="120"/>
      <c r="C1546" s="116"/>
      <c r="D1546" s="116"/>
      <c r="E1546" s="116"/>
      <c r="F1546" s="116"/>
      <c r="G1546" s="116"/>
    </row>
    <row r="1547">
      <c r="A1547" s="119"/>
      <c r="B1547" s="120"/>
      <c r="C1547" s="116"/>
      <c r="D1547" s="116"/>
      <c r="E1547" s="116"/>
      <c r="F1547" s="116"/>
      <c r="G1547" s="116"/>
    </row>
    <row r="1548">
      <c r="A1548" s="119"/>
      <c r="B1548" s="120"/>
      <c r="C1548" s="116"/>
      <c r="D1548" s="116"/>
      <c r="E1548" s="116"/>
      <c r="F1548" s="116"/>
      <c r="G1548" s="116"/>
    </row>
    <row r="1549">
      <c r="A1549" s="119"/>
      <c r="B1549" s="120"/>
      <c r="C1549" s="116"/>
      <c r="D1549" s="116"/>
      <c r="E1549" s="116"/>
      <c r="F1549" s="116"/>
      <c r="G1549" s="116"/>
    </row>
    <row r="1550">
      <c r="A1550" s="119"/>
      <c r="B1550" s="120"/>
      <c r="C1550" s="116"/>
      <c r="D1550" s="116"/>
      <c r="E1550" s="116"/>
      <c r="F1550" s="116"/>
      <c r="G1550" s="116"/>
    </row>
    <row r="1551">
      <c r="A1551" s="119"/>
      <c r="B1551" s="120"/>
      <c r="C1551" s="116"/>
      <c r="D1551" s="116"/>
      <c r="E1551" s="116"/>
      <c r="F1551" s="116"/>
      <c r="G1551" s="116"/>
    </row>
    <row r="1552">
      <c r="A1552" s="119"/>
      <c r="B1552" s="120"/>
      <c r="C1552" s="116"/>
      <c r="D1552" s="116"/>
      <c r="E1552" s="116"/>
      <c r="F1552" s="116"/>
      <c r="G1552" s="116"/>
    </row>
    <row r="1553">
      <c r="A1553" s="119"/>
      <c r="B1553" s="120"/>
      <c r="C1553" s="116"/>
      <c r="D1553" s="116"/>
      <c r="E1553" s="116"/>
      <c r="F1553" s="116"/>
      <c r="G1553" s="116"/>
    </row>
    <row r="1554">
      <c r="A1554" s="119"/>
      <c r="B1554" s="120"/>
      <c r="C1554" s="116"/>
      <c r="D1554" s="116"/>
      <c r="E1554" s="116"/>
      <c r="F1554" s="116"/>
      <c r="G1554" s="116"/>
    </row>
    <row r="1555">
      <c r="A1555" s="119"/>
      <c r="B1555" s="120"/>
      <c r="C1555" s="116"/>
      <c r="D1555" s="116"/>
      <c r="E1555" s="116"/>
      <c r="F1555" s="116"/>
      <c r="G1555" s="116"/>
    </row>
    <row r="1556">
      <c r="A1556" s="119"/>
      <c r="B1556" s="120"/>
      <c r="C1556" s="116"/>
      <c r="D1556" s="116"/>
      <c r="E1556" s="116"/>
      <c r="F1556" s="116"/>
      <c r="G1556" s="116"/>
    </row>
    <row r="1557">
      <c r="A1557" s="119"/>
      <c r="B1557" s="120"/>
      <c r="C1557" s="116"/>
      <c r="D1557" s="116"/>
      <c r="E1557" s="116"/>
      <c r="F1557" s="116"/>
      <c r="G1557" s="116"/>
    </row>
    <row r="1558">
      <c r="A1558" s="119"/>
      <c r="B1558" s="120"/>
      <c r="C1558" s="116"/>
      <c r="D1558" s="116"/>
      <c r="E1558" s="116"/>
      <c r="F1558" s="116"/>
      <c r="G1558" s="116"/>
    </row>
    <row r="1559">
      <c r="A1559" s="119"/>
      <c r="B1559" s="120"/>
      <c r="C1559" s="116"/>
      <c r="D1559" s="116"/>
      <c r="E1559" s="116"/>
      <c r="F1559" s="116"/>
      <c r="G1559" s="116"/>
    </row>
    <row r="1560">
      <c r="A1560" s="119"/>
      <c r="B1560" s="120"/>
      <c r="C1560" s="116"/>
      <c r="D1560" s="116"/>
      <c r="E1560" s="116"/>
      <c r="F1560" s="116"/>
      <c r="G1560" s="116"/>
    </row>
    <row r="1561">
      <c r="A1561" s="119"/>
      <c r="B1561" s="120"/>
      <c r="C1561" s="116"/>
      <c r="D1561" s="116"/>
      <c r="E1561" s="116"/>
      <c r="F1561" s="116"/>
      <c r="G1561" s="116"/>
    </row>
    <row r="1562">
      <c r="A1562" s="119"/>
      <c r="B1562" s="120"/>
      <c r="C1562" s="116"/>
      <c r="D1562" s="116"/>
      <c r="E1562" s="116"/>
      <c r="F1562" s="116"/>
      <c r="G1562" s="116"/>
    </row>
    <row r="1563">
      <c r="A1563" s="119"/>
      <c r="B1563" s="120"/>
      <c r="C1563" s="116"/>
      <c r="D1563" s="116"/>
      <c r="E1563" s="116"/>
      <c r="F1563" s="116"/>
      <c r="G1563" s="116"/>
    </row>
    <row r="1564">
      <c r="A1564" s="119"/>
      <c r="B1564" s="120"/>
      <c r="C1564" s="116"/>
      <c r="D1564" s="116"/>
      <c r="E1564" s="116"/>
      <c r="F1564" s="116"/>
      <c r="G1564" s="116"/>
    </row>
    <row r="1565">
      <c r="A1565" s="119"/>
      <c r="B1565" s="120"/>
      <c r="C1565" s="116"/>
      <c r="D1565" s="116"/>
      <c r="E1565" s="116"/>
      <c r="F1565" s="116"/>
      <c r="G1565" s="116"/>
    </row>
    <row r="1566">
      <c r="A1566" s="119"/>
      <c r="B1566" s="120"/>
      <c r="C1566" s="116"/>
      <c r="D1566" s="116"/>
      <c r="E1566" s="116"/>
      <c r="F1566" s="116"/>
      <c r="G1566" s="116"/>
    </row>
    <row r="1567">
      <c r="A1567" s="119"/>
      <c r="B1567" s="120"/>
      <c r="C1567" s="116"/>
      <c r="D1567" s="116"/>
      <c r="E1567" s="116"/>
      <c r="F1567" s="116"/>
      <c r="G1567" s="116"/>
    </row>
    <row r="1568">
      <c r="A1568" s="119"/>
      <c r="B1568" s="120"/>
      <c r="C1568" s="116"/>
      <c r="D1568" s="116"/>
      <c r="E1568" s="116"/>
      <c r="F1568" s="116"/>
      <c r="G1568" s="116"/>
    </row>
    <row r="1569">
      <c r="A1569" s="119"/>
      <c r="B1569" s="120"/>
      <c r="C1569" s="116"/>
      <c r="D1569" s="116"/>
      <c r="E1569" s="116"/>
      <c r="F1569" s="116"/>
      <c r="G1569" s="116"/>
    </row>
    <row r="1570">
      <c r="A1570" s="119"/>
      <c r="B1570" s="120"/>
      <c r="C1570" s="116"/>
      <c r="D1570" s="116"/>
      <c r="E1570" s="116"/>
      <c r="F1570" s="116"/>
      <c r="G1570" s="116"/>
    </row>
    <row r="1571">
      <c r="A1571" s="119"/>
      <c r="B1571" s="120"/>
      <c r="C1571" s="116"/>
      <c r="D1571" s="116"/>
      <c r="E1571" s="116"/>
      <c r="F1571" s="116"/>
      <c r="G1571" s="116"/>
    </row>
    <row r="1572">
      <c r="A1572" s="119"/>
      <c r="B1572" s="120"/>
      <c r="C1572" s="116"/>
      <c r="D1572" s="116"/>
      <c r="E1572" s="116"/>
      <c r="F1572" s="116"/>
      <c r="G1572" s="116"/>
    </row>
    <row r="1573">
      <c r="A1573" s="119"/>
      <c r="B1573" s="120"/>
      <c r="C1573" s="116"/>
      <c r="D1573" s="116"/>
      <c r="E1573" s="116"/>
      <c r="F1573" s="116"/>
      <c r="G1573" s="116"/>
    </row>
    <row r="1574">
      <c r="A1574" s="119"/>
      <c r="B1574" s="120"/>
      <c r="C1574" s="116"/>
      <c r="D1574" s="116"/>
      <c r="E1574" s="116"/>
      <c r="F1574" s="116"/>
      <c r="G1574" s="116"/>
    </row>
    <row r="1575">
      <c r="A1575" s="119"/>
      <c r="B1575" s="120"/>
      <c r="C1575" s="116"/>
      <c r="D1575" s="116"/>
      <c r="E1575" s="116"/>
      <c r="F1575" s="116"/>
      <c r="G1575" s="116"/>
    </row>
    <row r="1576">
      <c r="A1576" s="119"/>
      <c r="B1576" s="120"/>
      <c r="C1576" s="116"/>
      <c r="D1576" s="116"/>
      <c r="E1576" s="116"/>
      <c r="F1576" s="116"/>
      <c r="G1576" s="116"/>
    </row>
    <row r="1577">
      <c r="A1577" s="119"/>
      <c r="B1577" s="120"/>
      <c r="C1577" s="116"/>
      <c r="D1577" s="116"/>
      <c r="E1577" s="116"/>
      <c r="F1577" s="116"/>
      <c r="G1577" s="116"/>
    </row>
    <row r="1578">
      <c r="A1578" s="119"/>
      <c r="B1578" s="120"/>
      <c r="C1578" s="116"/>
      <c r="D1578" s="116"/>
      <c r="E1578" s="116"/>
      <c r="F1578" s="116"/>
      <c r="G1578" s="116"/>
    </row>
    <row r="1579">
      <c r="A1579" s="119"/>
      <c r="B1579" s="120"/>
      <c r="C1579" s="116"/>
      <c r="D1579" s="116"/>
      <c r="E1579" s="116"/>
      <c r="F1579" s="116"/>
      <c r="G1579" s="116"/>
    </row>
    <row r="1580">
      <c r="A1580" s="119"/>
      <c r="B1580" s="120"/>
      <c r="C1580" s="116"/>
      <c r="D1580" s="116"/>
      <c r="E1580" s="116"/>
      <c r="F1580" s="116"/>
      <c r="G1580" s="116"/>
    </row>
    <row r="1581">
      <c r="A1581" s="119"/>
      <c r="B1581" s="120"/>
      <c r="C1581" s="116"/>
      <c r="D1581" s="116"/>
      <c r="E1581" s="116"/>
      <c r="F1581" s="116"/>
      <c r="G1581" s="116"/>
    </row>
    <row r="1582">
      <c r="A1582" s="119"/>
      <c r="B1582" s="120"/>
      <c r="C1582" s="116"/>
      <c r="D1582" s="116"/>
      <c r="E1582" s="116"/>
      <c r="F1582" s="116"/>
      <c r="G1582" s="116"/>
    </row>
    <row r="1583">
      <c r="A1583" s="119"/>
      <c r="B1583" s="120"/>
      <c r="C1583" s="116"/>
      <c r="D1583" s="116"/>
      <c r="E1583" s="116"/>
      <c r="F1583" s="116"/>
      <c r="G1583" s="116"/>
    </row>
    <row r="1584">
      <c r="A1584" s="119"/>
      <c r="B1584" s="120"/>
      <c r="C1584" s="116"/>
      <c r="D1584" s="116"/>
      <c r="E1584" s="116"/>
      <c r="F1584" s="116"/>
      <c r="G1584" s="116"/>
    </row>
    <row r="1585">
      <c r="A1585" s="119"/>
      <c r="B1585" s="120"/>
      <c r="C1585" s="116"/>
      <c r="D1585" s="116"/>
      <c r="E1585" s="116"/>
      <c r="F1585" s="116"/>
      <c r="G1585" s="116"/>
    </row>
    <row r="1586">
      <c r="A1586" s="119"/>
      <c r="B1586" s="120"/>
      <c r="C1586" s="116"/>
      <c r="D1586" s="116"/>
      <c r="E1586" s="116"/>
      <c r="F1586" s="116"/>
      <c r="G1586" s="116"/>
    </row>
    <row r="1587">
      <c r="A1587" s="119"/>
      <c r="B1587" s="120"/>
      <c r="C1587" s="116"/>
      <c r="D1587" s="116"/>
      <c r="E1587" s="116"/>
      <c r="F1587" s="116"/>
      <c r="G1587" s="116"/>
    </row>
    <row r="1588">
      <c r="A1588" s="119"/>
      <c r="B1588" s="120"/>
      <c r="C1588" s="116"/>
      <c r="D1588" s="116"/>
      <c r="E1588" s="116"/>
      <c r="F1588" s="116"/>
      <c r="G1588" s="116"/>
    </row>
    <row r="1589">
      <c r="A1589" s="119"/>
      <c r="B1589" s="120"/>
      <c r="C1589" s="116"/>
      <c r="D1589" s="116"/>
      <c r="E1589" s="116"/>
      <c r="F1589" s="116"/>
      <c r="G1589" s="116"/>
    </row>
    <row r="1590">
      <c r="A1590" s="119"/>
      <c r="B1590" s="120"/>
      <c r="C1590" s="116"/>
      <c r="D1590" s="116"/>
      <c r="E1590" s="116"/>
      <c r="F1590" s="116"/>
      <c r="G1590" s="116"/>
    </row>
    <row r="1591">
      <c r="A1591" s="119"/>
      <c r="B1591" s="120"/>
      <c r="C1591" s="116"/>
      <c r="D1591" s="116"/>
      <c r="E1591" s="116"/>
      <c r="F1591" s="116"/>
      <c r="G1591" s="116"/>
    </row>
    <row r="1592">
      <c r="A1592" s="119"/>
      <c r="B1592" s="120"/>
      <c r="C1592" s="116"/>
      <c r="D1592" s="116"/>
      <c r="E1592" s="116"/>
      <c r="F1592" s="116"/>
      <c r="G1592" s="116"/>
    </row>
    <row r="1593">
      <c r="A1593" s="119"/>
      <c r="B1593" s="120"/>
      <c r="C1593" s="116"/>
      <c r="D1593" s="116"/>
      <c r="E1593" s="116"/>
      <c r="F1593" s="116"/>
      <c r="G1593" s="116"/>
    </row>
    <row r="1594">
      <c r="A1594" s="119"/>
      <c r="B1594" s="120"/>
      <c r="C1594" s="116"/>
      <c r="D1594" s="116"/>
      <c r="E1594" s="116"/>
      <c r="F1594" s="116"/>
      <c r="G1594" s="116"/>
    </row>
    <row r="1595">
      <c r="A1595" s="119"/>
      <c r="B1595" s="120"/>
      <c r="C1595" s="116"/>
      <c r="D1595" s="116"/>
      <c r="E1595" s="116"/>
      <c r="F1595" s="116"/>
      <c r="G1595" s="116"/>
    </row>
    <row r="1596">
      <c r="A1596" s="119"/>
      <c r="B1596" s="120"/>
      <c r="C1596" s="116"/>
      <c r="D1596" s="116"/>
      <c r="E1596" s="116"/>
      <c r="F1596" s="116"/>
      <c r="G1596" s="116"/>
    </row>
    <row r="1597">
      <c r="A1597" s="119"/>
      <c r="B1597" s="120"/>
      <c r="C1597" s="116"/>
      <c r="D1597" s="116"/>
      <c r="E1597" s="116"/>
      <c r="F1597" s="116"/>
      <c r="G1597" s="116"/>
    </row>
    <row r="1598">
      <c r="A1598" s="119"/>
      <c r="B1598" s="120"/>
      <c r="C1598" s="116"/>
      <c r="D1598" s="116"/>
      <c r="E1598" s="116"/>
      <c r="F1598" s="116"/>
      <c r="G1598" s="116"/>
    </row>
    <row r="1599">
      <c r="A1599" s="119"/>
      <c r="B1599" s="120"/>
      <c r="C1599" s="116"/>
      <c r="D1599" s="116"/>
      <c r="E1599" s="116"/>
      <c r="F1599" s="116"/>
      <c r="G1599" s="116"/>
    </row>
    <row r="1600">
      <c r="A1600" s="119"/>
      <c r="B1600" s="120"/>
      <c r="C1600" s="116"/>
      <c r="D1600" s="116"/>
      <c r="E1600" s="116"/>
      <c r="F1600" s="116"/>
      <c r="G1600" s="116"/>
    </row>
    <row r="1601">
      <c r="A1601" s="119"/>
      <c r="B1601" s="120"/>
      <c r="C1601" s="116"/>
      <c r="D1601" s="116"/>
      <c r="E1601" s="116"/>
      <c r="F1601" s="116"/>
      <c r="G1601" s="116"/>
    </row>
    <row r="1602">
      <c r="A1602" s="119"/>
      <c r="B1602" s="120"/>
      <c r="C1602" s="116"/>
      <c r="D1602" s="116"/>
      <c r="E1602" s="116"/>
      <c r="F1602" s="116"/>
      <c r="G1602" s="116"/>
    </row>
    <row r="1603">
      <c r="A1603" s="119"/>
      <c r="B1603" s="120"/>
      <c r="C1603" s="116"/>
      <c r="D1603" s="116"/>
      <c r="E1603" s="116"/>
      <c r="F1603" s="116"/>
      <c r="G1603" s="116"/>
    </row>
    <row r="1604">
      <c r="A1604" s="119"/>
      <c r="B1604" s="120"/>
      <c r="C1604" s="116"/>
      <c r="D1604" s="116"/>
      <c r="E1604" s="116"/>
      <c r="F1604" s="116"/>
      <c r="G1604" s="116"/>
    </row>
    <row r="1605">
      <c r="A1605" s="119"/>
      <c r="B1605" s="120"/>
      <c r="C1605" s="116"/>
      <c r="D1605" s="116"/>
      <c r="E1605" s="116"/>
      <c r="F1605" s="116"/>
      <c r="G1605" s="116"/>
    </row>
    <row r="1606">
      <c r="A1606" s="119"/>
      <c r="B1606" s="120"/>
      <c r="C1606" s="116"/>
      <c r="D1606" s="116"/>
      <c r="E1606" s="116"/>
      <c r="F1606" s="116"/>
      <c r="G1606" s="116"/>
    </row>
    <row r="1607">
      <c r="A1607" s="119"/>
      <c r="B1607" s="120"/>
      <c r="C1607" s="116"/>
      <c r="D1607" s="116"/>
      <c r="E1607" s="116"/>
      <c r="F1607" s="116"/>
      <c r="G1607" s="116"/>
    </row>
    <row r="1608">
      <c r="A1608" s="119"/>
      <c r="B1608" s="120"/>
      <c r="C1608" s="116"/>
      <c r="D1608" s="116"/>
      <c r="E1608" s="116"/>
      <c r="F1608" s="116"/>
      <c r="G1608" s="116"/>
    </row>
    <row r="1609">
      <c r="A1609" s="119"/>
      <c r="B1609" s="120"/>
      <c r="C1609" s="116"/>
      <c r="D1609" s="116"/>
      <c r="E1609" s="116"/>
      <c r="F1609" s="116"/>
      <c r="G1609" s="116"/>
    </row>
    <row r="1610">
      <c r="A1610" s="119"/>
      <c r="B1610" s="120"/>
      <c r="C1610" s="116"/>
      <c r="D1610" s="116"/>
      <c r="E1610" s="116"/>
      <c r="F1610" s="116"/>
      <c r="G1610" s="116"/>
    </row>
    <row r="1611">
      <c r="A1611" s="119"/>
      <c r="B1611" s="120"/>
      <c r="C1611" s="116"/>
      <c r="D1611" s="116"/>
      <c r="E1611" s="116"/>
      <c r="F1611" s="116"/>
      <c r="G1611" s="116"/>
    </row>
    <row r="1612">
      <c r="A1612" s="119"/>
      <c r="B1612" s="120"/>
      <c r="C1612" s="116"/>
      <c r="D1612" s="116"/>
      <c r="E1612" s="116"/>
      <c r="F1612" s="116"/>
      <c r="G1612" s="116"/>
    </row>
    <row r="1613">
      <c r="A1613" s="119"/>
      <c r="B1613" s="120"/>
      <c r="C1613" s="116"/>
      <c r="D1613" s="116"/>
      <c r="E1613" s="116"/>
      <c r="F1613" s="116"/>
      <c r="G1613" s="116"/>
    </row>
    <row r="1614">
      <c r="A1614" s="119"/>
      <c r="B1614" s="120"/>
      <c r="C1614" s="116"/>
      <c r="D1614" s="116"/>
      <c r="E1614" s="116"/>
      <c r="F1614" s="116"/>
      <c r="G1614" s="116"/>
    </row>
    <row r="1615">
      <c r="A1615" s="119"/>
      <c r="B1615" s="120"/>
      <c r="C1615" s="116"/>
      <c r="D1615" s="116"/>
      <c r="E1615" s="116"/>
      <c r="F1615" s="116"/>
      <c r="G1615" s="116"/>
    </row>
    <row r="1616">
      <c r="A1616" s="119"/>
      <c r="B1616" s="120"/>
      <c r="C1616" s="116"/>
      <c r="D1616" s="116"/>
      <c r="E1616" s="116"/>
      <c r="F1616" s="116"/>
      <c r="G1616" s="116"/>
    </row>
    <row r="1617">
      <c r="A1617" s="119"/>
      <c r="B1617" s="120"/>
      <c r="C1617" s="116"/>
      <c r="D1617" s="116"/>
      <c r="E1617" s="116"/>
      <c r="F1617" s="116"/>
      <c r="G1617" s="116"/>
    </row>
    <row r="1618">
      <c r="A1618" s="119"/>
      <c r="B1618" s="120"/>
      <c r="C1618" s="116"/>
      <c r="D1618" s="116"/>
      <c r="E1618" s="116"/>
      <c r="F1618" s="116"/>
      <c r="G1618" s="116"/>
    </row>
    <row r="1619">
      <c r="A1619" s="119"/>
      <c r="B1619" s="120"/>
      <c r="C1619" s="116"/>
      <c r="D1619" s="116"/>
      <c r="E1619" s="116"/>
      <c r="F1619" s="116"/>
      <c r="G1619" s="116"/>
    </row>
    <row r="1620">
      <c r="A1620" s="119"/>
      <c r="B1620" s="120"/>
      <c r="C1620" s="116"/>
      <c r="D1620" s="116"/>
      <c r="E1620" s="116"/>
      <c r="F1620" s="116"/>
      <c r="G1620" s="116"/>
    </row>
    <row r="1621">
      <c r="A1621" s="119"/>
      <c r="B1621" s="120"/>
      <c r="C1621" s="116"/>
      <c r="D1621" s="116"/>
      <c r="E1621" s="116"/>
      <c r="F1621" s="116"/>
      <c r="G1621" s="116"/>
    </row>
    <row r="1622">
      <c r="A1622" s="119"/>
      <c r="B1622" s="120"/>
      <c r="C1622" s="116"/>
      <c r="D1622" s="116"/>
      <c r="E1622" s="116"/>
      <c r="F1622" s="116"/>
      <c r="G1622" s="116"/>
    </row>
    <row r="1623">
      <c r="A1623" s="119"/>
      <c r="B1623" s="120"/>
      <c r="C1623" s="116"/>
      <c r="D1623" s="116"/>
      <c r="E1623" s="116"/>
      <c r="F1623" s="116"/>
      <c r="G1623" s="116"/>
    </row>
    <row r="1624">
      <c r="A1624" s="119"/>
      <c r="B1624" s="120"/>
      <c r="C1624" s="116"/>
      <c r="D1624" s="116"/>
      <c r="E1624" s="116"/>
      <c r="F1624" s="116"/>
      <c r="G1624" s="116"/>
    </row>
    <row r="1625">
      <c r="A1625" s="119"/>
      <c r="B1625" s="120"/>
      <c r="C1625" s="116"/>
      <c r="D1625" s="116"/>
      <c r="E1625" s="116"/>
      <c r="F1625" s="116"/>
      <c r="G1625" s="116"/>
    </row>
    <row r="1626">
      <c r="A1626" s="119"/>
      <c r="B1626" s="120"/>
      <c r="C1626" s="116"/>
      <c r="D1626" s="116"/>
      <c r="E1626" s="116"/>
      <c r="F1626" s="116"/>
      <c r="G1626" s="116"/>
    </row>
    <row r="1627">
      <c r="A1627" s="119"/>
      <c r="B1627" s="120"/>
      <c r="C1627" s="116"/>
      <c r="D1627" s="116"/>
      <c r="E1627" s="116"/>
      <c r="F1627" s="116"/>
      <c r="G1627" s="116"/>
    </row>
    <row r="1628">
      <c r="A1628" s="119"/>
      <c r="B1628" s="120"/>
      <c r="C1628" s="116"/>
      <c r="D1628" s="116"/>
      <c r="E1628" s="116"/>
      <c r="F1628" s="116"/>
      <c r="G1628" s="116"/>
    </row>
    <row r="1629">
      <c r="A1629" s="119"/>
      <c r="B1629" s="120"/>
      <c r="C1629" s="116"/>
      <c r="D1629" s="116"/>
      <c r="E1629" s="116"/>
      <c r="F1629" s="116"/>
      <c r="G1629" s="116"/>
    </row>
    <row r="1630">
      <c r="A1630" s="119"/>
      <c r="B1630" s="120"/>
      <c r="C1630" s="116"/>
      <c r="D1630" s="116"/>
      <c r="E1630" s="116"/>
      <c r="F1630" s="116"/>
      <c r="G1630" s="116"/>
    </row>
    <row r="1631">
      <c r="A1631" s="119"/>
      <c r="B1631" s="120"/>
      <c r="C1631" s="116"/>
      <c r="D1631" s="116"/>
      <c r="E1631" s="116"/>
      <c r="F1631" s="116"/>
      <c r="G1631" s="116"/>
    </row>
    <row r="1632">
      <c r="A1632" s="119"/>
      <c r="B1632" s="120"/>
      <c r="C1632" s="116"/>
      <c r="D1632" s="116"/>
      <c r="E1632" s="116"/>
      <c r="F1632" s="116"/>
      <c r="G1632" s="116"/>
    </row>
    <row r="1633">
      <c r="A1633" s="119"/>
      <c r="B1633" s="120"/>
      <c r="C1633" s="116"/>
      <c r="D1633" s="116"/>
      <c r="E1633" s="116"/>
      <c r="F1633" s="116"/>
      <c r="G1633" s="116"/>
    </row>
    <row r="1634">
      <c r="A1634" s="119"/>
      <c r="B1634" s="120"/>
      <c r="C1634" s="116"/>
      <c r="D1634" s="116"/>
      <c r="E1634" s="116"/>
      <c r="F1634" s="116"/>
      <c r="G1634" s="116"/>
    </row>
    <row r="1635">
      <c r="A1635" s="119"/>
      <c r="B1635" s="120"/>
      <c r="C1635" s="116"/>
      <c r="D1635" s="116"/>
      <c r="E1635" s="116"/>
      <c r="F1635" s="116"/>
      <c r="G1635" s="116"/>
    </row>
    <row r="1636">
      <c r="A1636" s="119"/>
    </row>
    <row r="1637">
      <c r="A1637" s="119"/>
    </row>
    <row r="1638">
      <c r="A1638" s="119"/>
    </row>
    <row r="1639">
      <c r="A1639" s="119"/>
    </row>
    <row r="1640">
      <c r="A1640" s="119"/>
    </row>
    <row r="1641">
      <c r="A1641" s="119"/>
    </row>
    <row r="1642">
      <c r="A1642" s="119"/>
    </row>
    <row r="1643">
      <c r="A1643" s="119"/>
    </row>
    <row r="1644">
      <c r="A1644" s="119"/>
    </row>
    <row r="1645">
      <c r="A1645" s="119"/>
    </row>
    <row r="1646">
      <c r="A1646" s="119"/>
    </row>
    <row r="1647">
      <c r="A1647" s="119"/>
    </row>
    <row r="1648">
      <c r="A1648" s="119"/>
    </row>
    <row r="1649">
      <c r="A1649" s="119"/>
    </row>
    <row r="1650">
      <c r="A1650" s="119"/>
    </row>
    <row r="1651">
      <c r="A1651" s="119"/>
    </row>
    <row r="1652">
      <c r="A1652" s="119"/>
    </row>
    <row r="1653">
      <c r="A1653" s="119"/>
    </row>
    <row r="1654">
      <c r="A1654" s="119"/>
    </row>
    <row r="1655">
      <c r="A1655" s="119"/>
    </row>
    <row r="1656">
      <c r="A1656" s="119"/>
    </row>
    <row r="1657">
      <c r="A1657" s="119"/>
    </row>
    <row r="1658">
      <c r="A1658" s="119"/>
    </row>
    <row r="1659">
      <c r="A1659" s="119"/>
    </row>
    <row r="1660">
      <c r="A1660" s="119"/>
    </row>
    <row r="1661">
      <c r="A1661" s="119"/>
    </row>
    <row r="1662">
      <c r="A1662" s="119"/>
    </row>
    <row r="1663">
      <c r="A1663" s="119"/>
    </row>
    <row r="1664">
      <c r="A1664" s="119"/>
    </row>
    <row r="1665">
      <c r="A1665" s="119"/>
    </row>
    <row r="1666">
      <c r="A1666" s="119"/>
    </row>
    <row r="1667">
      <c r="A1667" s="119"/>
    </row>
    <row r="1668">
      <c r="A1668" s="119"/>
    </row>
    <row r="1669">
      <c r="A1669" s="119"/>
    </row>
    <row r="1670">
      <c r="A1670" s="119"/>
    </row>
    <row r="1671">
      <c r="A1671" s="119"/>
    </row>
    <row r="1672">
      <c r="A1672" s="119"/>
    </row>
    <row r="1673">
      <c r="A1673" s="119"/>
    </row>
    <row r="1674">
      <c r="A1674" s="119"/>
    </row>
    <row r="1675">
      <c r="A1675" s="119"/>
    </row>
    <row r="1676">
      <c r="A1676" s="119"/>
    </row>
    <row r="1677">
      <c r="A1677" s="119"/>
    </row>
    <row r="1678">
      <c r="A1678" s="119"/>
    </row>
    <row r="1679">
      <c r="A1679" s="119"/>
    </row>
    <row r="1680">
      <c r="A1680" s="119"/>
    </row>
    <row r="1681">
      <c r="A1681" s="119"/>
    </row>
    <row r="1682">
      <c r="A1682" s="119"/>
    </row>
    <row r="1683">
      <c r="A1683" s="119"/>
    </row>
    <row r="1684">
      <c r="A1684" s="119"/>
    </row>
    <row r="1685">
      <c r="A1685" s="119"/>
    </row>
    <row r="1686">
      <c r="A1686" s="119"/>
    </row>
    <row r="1687">
      <c r="A1687" s="119"/>
    </row>
    <row r="1688">
      <c r="A1688" s="119"/>
    </row>
    <row r="1689">
      <c r="A1689" s="119"/>
    </row>
    <row r="1690">
      <c r="A1690" s="119"/>
    </row>
    <row r="1691">
      <c r="A1691" s="119"/>
    </row>
    <row r="1692">
      <c r="A1692" s="119"/>
    </row>
    <row r="1693">
      <c r="A1693" s="119"/>
    </row>
    <row r="1694">
      <c r="A1694" s="119"/>
    </row>
    <row r="1695">
      <c r="A1695" s="119"/>
    </row>
    <row r="1696">
      <c r="A1696" s="119"/>
    </row>
    <row r="1697">
      <c r="A1697" s="119"/>
    </row>
    <row r="1698">
      <c r="A1698" s="119"/>
    </row>
    <row r="1699">
      <c r="A1699" s="119"/>
    </row>
    <row r="1700">
      <c r="A1700" s="119"/>
    </row>
    <row r="1701">
      <c r="A1701" s="119"/>
    </row>
    <row r="1702">
      <c r="A1702" s="119"/>
    </row>
    <row r="1703">
      <c r="A1703" s="119"/>
    </row>
    <row r="1704">
      <c r="A1704" s="119"/>
    </row>
    <row r="1705">
      <c r="A1705" s="119"/>
    </row>
    <row r="1706">
      <c r="A1706" s="119"/>
    </row>
    <row r="1707">
      <c r="A1707" s="119"/>
    </row>
    <row r="1708">
      <c r="A1708" s="119"/>
    </row>
    <row r="1709">
      <c r="A1709" s="119"/>
    </row>
    <row r="1710">
      <c r="A1710" s="119"/>
    </row>
    <row r="1711">
      <c r="A1711" s="119"/>
    </row>
    <row r="1712">
      <c r="A1712" s="119"/>
    </row>
    <row r="1713">
      <c r="A1713" s="119"/>
    </row>
    <row r="1714">
      <c r="A1714" s="119"/>
    </row>
    <row r="1715">
      <c r="A1715" s="119"/>
    </row>
    <row r="1716">
      <c r="A1716" s="119"/>
    </row>
    <row r="1717">
      <c r="A1717" s="119"/>
    </row>
    <row r="1718">
      <c r="A1718" s="119"/>
    </row>
    <row r="1719">
      <c r="A1719" s="119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7"/>
    <hyperlink r:id="rId167" ref="G168"/>
    <hyperlink r:id="rId168" ref="G169"/>
    <hyperlink r:id="rId169" ref="G170"/>
    <hyperlink r:id="rId170" ref="G171"/>
    <hyperlink r:id="rId171" ref="G172"/>
    <hyperlink r:id="rId172" ref="G173"/>
    <hyperlink r:id="rId173" ref="G174"/>
    <hyperlink r:id="rId174" ref="G175"/>
    <hyperlink r:id="rId175" ref="G176"/>
    <hyperlink r:id="rId176" ref="G177"/>
    <hyperlink r:id="rId177" ref="G178"/>
    <hyperlink r:id="rId178" ref="G179"/>
    <hyperlink r:id="rId179" ref="G180"/>
    <hyperlink r:id="rId180" ref="G181"/>
    <hyperlink r:id="rId181" ref="G182"/>
    <hyperlink r:id="rId182" ref="G183"/>
    <hyperlink r:id="rId183" ref="G184"/>
    <hyperlink r:id="rId184" ref="G185"/>
    <hyperlink r:id="rId185" ref="G186"/>
    <hyperlink r:id="rId186" ref="G187"/>
    <hyperlink r:id="rId187" ref="G188"/>
    <hyperlink r:id="rId188" ref="G189"/>
    <hyperlink r:id="rId189" ref="G190"/>
    <hyperlink r:id="rId190" ref="G191"/>
    <hyperlink r:id="rId191" ref="G192"/>
    <hyperlink r:id="rId192" ref="G193"/>
    <hyperlink r:id="rId193" ref="G194"/>
    <hyperlink r:id="rId194" ref="G195"/>
    <hyperlink r:id="rId195" ref="G196"/>
    <hyperlink r:id="rId196" ref="G197"/>
    <hyperlink r:id="rId197" ref="G198"/>
    <hyperlink r:id="rId198" ref="G199"/>
    <hyperlink r:id="rId199" ref="G200"/>
    <hyperlink r:id="rId200" ref="G201"/>
    <hyperlink r:id="rId201" ref="G202"/>
    <hyperlink r:id="rId202" ref="G203"/>
    <hyperlink r:id="rId203" ref="G204"/>
    <hyperlink r:id="rId204" ref="G205"/>
    <hyperlink r:id="rId205" ref="G206"/>
    <hyperlink r:id="rId206" ref="G207"/>
    <hyperlink r:id="rId207" ref="G208"/>
    <hyperlink r:id="rId208" ref="G209"/>
    <hyperlink r:id="rId209" ref="G210"/>
    <hyperlink r:id="rId210" ref="G211"/>
    <hyperlink r:id="rId211" ref="G212"/>
    <hyperlink r:id="rId212" ref="G213"/>
    <hyperlink r:id="rId213" ref="G214"/>
    <hyperlink r:id="rId214" ref="G215"/>
    <hyperlink r:id="rId215" ref="G216"/>
    <hyperlink r:id="rId216" ref="G217"/>
    <hyperlink r:id="rId217" ref="G218"/>
    <hyperlink r:id="rId218" ref="G219"/>
    <hyperlink r:id="rId219" ref="G220"/>
    <hyperlink r:id="rId220" ref="G221"/>
    <hyperlink r:id="rId221" ref="G222"/>
    <hyperlink r:id="rId222" ref="G223"/>
    <hyperlink r:id="rId223" ref="G224"/>
    <hyperlink r:id="rId224" ref="G225"/>
    <hyperlink r:id="rId225" ref="G226"/>
    <hyperlink r:id="rId226" ref="G227"/>
    <hyperlink r:id="rId227" ref="G228"/>
    <hyperlink r:id="rId228" ref="G229"/>
    <hyperlink r:id="rId229" ref="G230"/>
    <hyperlink r:id="rId230" ref="G231"/>
    <hyperlink r:id="rId231" ref="G232"/>
    <hyperlink r:id="rId232" ref="G233"/>
    <hyperlink r:id="rId233" ref="G234"/>
    <hyperlink r:id="rId234" ref="G235"/>
    <hyperlink r:id="rId235" ref="G236"/>
    <hyperlink r:id="rId236" ref="G237"/>
    <hyperlink r:id="rId237" ref="G238"/>
    <hyperlink r:id="rId238" ref="G239"/>
    <hyperlink r:id="rId239" ref="G240"/>
    <hyperlink r:id="rId240" ref="G241"/>
    <hyperlink r:id="rId241" ref="G242"/>
    <hyperlink r:id="rId242" ref="G243"/>
    <hyperlink r:id="rId243" ref="G244"/>
    <hyperlink r:id="rId244" ref="G245"/>
    <hyperlink r:id="rId245" ref="G246"/>
    <hyperlink r:id="rId246" ref="G247"/>
    <hyperlink r:id="rId247" ref="G248"/>
    <hyperlink r:id="rId248" ref="G249"/>
    <hyperlink r:id="rId249" ref="G250"/>
    <hyperlink r:id="rId250" ref="G251"/>
    <hyperlink r:id="rId251" ref="G252"/>
    <hyperlink r:id="rId252" ref="G253"/>
    <hyperlink r:id="rId253" ref="G254"/>
    <hyperlink r:id="rId254" ref="G255"/>
    <hyperlink r:id="rId255" ref="G256"/>
    <hyperlink r:id="rId256" ref="G257"/>
    <hyperlink r:id="rId257" ref="G258"/>
    <hyperlink r:id="rId258" ref="G259"/>
    <hyperlink r:id="rId259" ref="G260"/>
    <hyperlink r:id="rId260" ref="G261"/>
    <hyperlink r:id="rId261" ref="G262"/>
    <hyperlink r:id="rId262" ref="G263"/>
    <hyperlink r:id="rId263" ref="G264"/>
    <hyperlink r:id="rId264" ref="G265"/>
    <hyperlink r:id="rId265" ref="G266"/>
    <hyperlink r:id="rId266" ref="G267"/>
    <hyperlink r:id="rId267" ref="G268"/>
    <hyperlink r:id="rId268" ref="G269"/>
    <hyperlink r:id="rId269" ref="G270"/>
    <hyperlink r:id="rId270" ref="G271"/>
    <hyperlink r:id="rId271" ref="G272"/>
    <hyperlink r:id="rId272" ref="G273"/>
    <hyperlink r:id="rId273" ref="G274"/>
    <hyperlink r:id="rId274" ref="G275"/>
    <hyperlink r:id="rId275" ref="G276"/>
    <hyperlink r:id="rId276" ref="G277"/>
    <hyperlink r:id="rId277" ref="G278"/>
    <hyperlink r:id="rId278" ref="G279"/>
    <hyperlink r:id="rId279" ref="G280"/>
    <hyperlink r:id="rId280" ref="G281"/>
    <hyperlink r:id="rId281" ref="G282"/>
    <hyperlink r:id="rId282" ref="G283"/>
    <hyperlink r:id="rId283" ref="G284"/>
    <hyperlink r:id="rId284" ref="G285"/>
    <hyperlink r:id="rId285" ref="G286"/>
    <hyperlink r:id="rId286" ref="G287"/>
    <hyperlink r:id="rId287" ref="G288"/>
    <hyperlink r:id="rId288" ref="G289"/>
    <hyperlink r:id="rId289" ref="G290"/>
    <hyperlink r:id="rId290" ref="G291"/>
    <hyperlink r:id="rId291" ref="G292"/>
    <hyperlink r:id="rId292" ref="G293"/>
    <hyperlink r:id="rId293" ref="G294"/>
    <hyperlink r:id="rId294" ref="G295"/>
    <hyperlink r:id="rId295" ref="G296"/>
    <hyperlink r:id="rId296" ref="G297"/>
    <hyperlink r:id="rId297" ref="G298"/>
    <hyperlink r:id="rId298" ref="G299"/>
    <hyperlink r:id="rId299" ref="G300"/>
    <hyperlink r:id="rId300" ref="G301"/>
    <hyperlink r:id="rId301" ref="G302"/>
    <hyperlink r:id="rId302" ref="G303"/>
    <hyperlink r:id="rId303" ref="G304"/>
    <hyperlink r:id="rId304" ref="G305"/>
    <hyperlink r:id="rId305" ref="G306"/>
    <hyperlink r:id="rId306" ref="G307"/>
    <hyperlink r:id="rId307" ref="G308"/>
    <hyperlink r:id="rId308" ref="G309"/>
    <hyperlink r:id="rId309" ref="G310"/>
    <hyperlink r:id="rId310" ref="G311"/>
    <hyperlink r:id="rId311" ref="G312"/>
    <hyperlink r:id="rId312" ref="G313"/>
    <hyperlink r:id="rId313" ref="G314"/>
    <hyperlink r:id="rId314" ref="G315"/>
    <hyperlink r:id="rId315" ref="G316"/>
    <hyperlink r:id="rId316" ref="G317"/>
    <hyperlink r:id="rId317" ref="G318"/>
    <hyperlink r:id="rId318" ref="G319"/>
    <hyperlink r:id="rId319" ref="G320"/>
    <hyperlink r:id="rId320" ref="G321"/>
    <hyperlink r:id="rId321" ref="G322"/>
    <hyperlink r:id="rId322" ref="G323"/>
    <hyperlink r:id="rId323" ref="G324"/>
    <hyperlink r:id="rId324" ref="G325"/>
    <hyperlink r:id="rId325" ref="G326"/>
    <hyperlink r:id="rId326" ref="G327"/>
    <hyperlink r:id="rId327" ref="G328"/>
    <hyperlink r:id="rId328" ref="G329"/>
    <hyperlink r:id="rId329" ref="G330"/>
    <hyperlink r:id="rId330" ref="G331"/>
    <hyperlink r:id="rId331" ref="G332"/>
    <hyperlink r:id="rId332" ref="G333"/>
    <hyperlink r:id="rId333" ref="G334"/>
    <hyperlink r:id="rId334" ref="G335"/>
    <hyperlink r:id="rId335" ref="G336"/>
    <hyperlink r:id="rId336" ref="G337"/>
    <hyperlink r:id="rId337" ref="G338"/>
    <hyperlink r:id="rId338" ref="G339"/>
    <hyperlink r:id="rId339" ref="G340"/>
    <hyperlink r:id="rId340" ref="G341"/>
    <hyperlink r:id="rId341" ref="G342"/>
    <hyperlink r:id="rId342" ref="G343"/>
    <hyperlink r:id="rId343" ref="G344"/>
    <hyperlink r:id="rId344" ref="G345"/>
    <hyperlink r:id="rId345" ref="G346"/>
    <hyperlink r:id="rId346" ref="G347"/>
    <hyperlink r:id="rId347" ref="G348"/>
    <hyperlink r:id="rId348" ref="G349"/>
    <hyperlink r:id="rId349" ref="G350"/>
    <hyperlink r:id="rId350" ref="G351"/>
    <hyperlink r:id="rId351" ref="G352"/>
    <hyperlink r:id="rId352" ref="G353"/>
    <hyperlink r:id="rId353" ref="G354"/>
    <hyperlink r:id="rId354" ref="G355"/>
    <hyperlink r:id="rId355" ref="G356"/>
    <hyperlink r:id="rId356" ref="G357"/>
    <hyperlink r:id="rId357" ref="G358"/>
    <hyperlink r:id="rId358" ref="G359"/>
    <hyperlink r:id="rId359" ref="G360"/>
    <hyperlink r:id="rId360" ref="G361"/>
    <hyperlink r:id="rId361" ref="G362"/>
    <hyperlink r:id="rId362" ref="G363"/>
    <hyperlink r:id="rId363" ref="G364"/>
    <hyperlink r:id="rId364" ref="G365"/>
    <hyperlink r:id="rId365" ref="G366"/>
    <hyperlink r:id="rId366" ref="G367"/>
    <hyperlink r:id="rId367" ref="G368"/>
    <hyperlink r:id="rId368" ref="G369"/>
    <hyperlink r:id="rId369" ref="G370"/>
    <hyperlink r:id="rId370" ref="G371"/>
    <hyperlink r:id="rId371" ref="G372"/>
    <hyperlink r:id="rId372" ref="G373"/>
    <hyperlink r:id="rId373" ref="G374"/>
    <hyperlink r:id="rId374" ref="G375"/>
    <hyperlink r:id="rId375" ref="G376"/>
    <hyperlink r:id="rId376" ref="G377"/>
    <hyperlink r:id="rId377" ref="G378"/>
    <hyperlink r:id="rId378" ref="G379"/>
    <hyperlink r:id="rId379" ref="G380"/>
    <hyperlink r:id="rId380" ref="G381"/>
    <hyperlink r:id="rId381" ref="G382"/>
    <hyperlink r:id="rId382" ref="G383"/>
    <hyperlink r:id="rId383" ref="G384"/>
    <hyperlink r:id="rId384" ref="G385"/>
    <hyperlink r:id="rId385" ref="G386"/>
    <hyperlink r:id="rId386" ref="G387"/>
    <hyperlink r:id="rId387" ref="G388"/>
    <hyperlink r:id="rId388" ref="G389"/>
    <hyperlink r:id="rId389" ref="G390"/>
    <hyperlink r:id="rId390" ref="G391"/>
    <hyperlink r:id="rId391" ref="G392"/>
    <hyperlink r:id="rId392" ref="G393"/>
    <hyperlink r:id="rId393" ref="G394"/>
    <hyperlink r:id="rId394" ref="G395"/>
    <hyperlink r:id="rId395" ref="G396"/>
    <hyperlink r:id="rId396" ref="G397"/>
    <hyperlink r:id="rId397" ref="G398"/>
    <hyperlink r:id="rId398" ref="G399"/>
    <hyperlink r:id="rId399" ref="G400"/>
    <hyperlink r:id="rId400" ref="G401"/>
    <hyperlink r:id="rId401" ref="G402"/>
    <hyperlink r:id="rId402" ref="G403"/>
    <hyperlink r:id="rId403" ref="G404"/>
    <hyperlink r:id="rId404" ref="G405"/>
    <hyperlink r:id="rId405" ref="G406"/>
    <hyperlink r:id="rId406" ref="G407"/>
    <hyperlink r:id="rId407" ref="G408"/>
    <hyperlink r:id="rId408" ref="G409"/>
    <hyperlink r:id="rId409" ref="G410"/>
    <hyperlink r:id="rId410" ref="G411"/>
    <hyperlink r:id="rId411" ref="G412"/>
    <hyperlink r:id="rId412" ref="G413"/>
    <hyperlink r:id="rId413" ref="G414"/>
    <hyperlink r:id="rId414" ref="G415"/>
    <hyperlink r:id="rId415" ref="G416"/>
    <hyperlink r:id="rId416" ref="G417"/>
    <hyperlink r:id="rId417" ref="G418"/>
    <hyperlink r:id="rId418" ref="G419"/>
    <hyperlink r:id="rId419" ref="G420"/>
    <hyperlink r:id="rId420" ref="G421"/>
    <hyperlink r:id="rId421" ref="G422"/>
    <hyperlink r:id="rId422" ref="G423"/>
    <hyperlink r:id="rId423" ref="G424"/>
    <hyperlink r:id="rId424" ref="G425"/>
    <hyperlink r:id="rId425" ref="G426"/>
    <hyperlink r:id="rId426" ref="G427"/>
    <hyperlink r:id="rId427" ref="G428"/>
    <hyperlink r:id="rId428" ref="G429"/>
    <hyperlink r:id="rId429" ref="G430"/>
    <hyperlink r:id="rId430" ref="G431"/>
    <hyperlink r:id="rId431" ref="G432"/>
    <hyperlink r:id="rId432" ref="G433"/>
    <hyperlink r:id="rId433" ref="G434"/>
    <hyperlink r:id="rId434" ref="G435"/>
    <hyperlink r:id="rId435" ref="G436"/>
    <hyperlink r:id="rId436" ref="G437"/>
    <hyperlink r:id="rId437" ref="G438"/>
    <hyperlink r:id="rId438" ref="G439"/>
    <hyperlink r:id="rId439" ref="G440"/>
    <hyperlink r:id="rId440" ref="G441"/>
    <hyperlink r:id="rId441" ref="G442"/>
    <hyperlink r:id="rId442" ref="G443"/>
    <hyperlink r:id="rId443" ref="G444"/>
    <hyperlink r:id="rId444" ref="G445"/>
    <hyperlink r:id="rId445" ref="G446"/>
    <hyperlink r:id="rId446" ref="G447"/>
    <hyperlink r:id="rId447" ref="G448"/>
    <hyperlink r:id="rId448" ref="G449"/>
    <hyperlink r:id="rId449" ref="G450"/>
    <hyperlink r:id="rId450" ref="G451"/>
    <hyperlink r:id="rId451" ref="G452"/>
    <hyperlink r:id="rId452" ref="G453"/>
    <hyperlink r:id="rId453" ref="G454"/>
    <hyperlink r:id="rId454" ref="G455"/>
    <hyperlink r:id="rId455" ref="G456"/>
    <hyperlink r:id="rId456" ref="G457"/>
    <hyperlink r:id="rId457" ref="G458"/>
    <hyperlink r:id="rId458" ref="G459"/>
    <hyperlink r:id="rId459" ref="G460"/>
    <hyperlink r:id="rId460" ref="G461"/>
    <hyperlink r:id="rId461" ref="G462"/>
    <hyperlink r:id="rId462" ref="G463"/>
    <hyperlink r:id="rId463" ref="G464"/>
    <hyperlink r:id="rId464" ref="G465"/>
    <hyperlink r:id="rId465" ref="G466"/>
    <hyperlink r:id="rId466" ref="G467"/>
    <hyperlink r:id="rId467" ref="G468"/>
    <hyperlink r:id="rId468" ref="G469"/>
    <hyperlink r:id="rId469" ref="G470"/>
    <hyperlink r:id="rId470" ref="G471"/>
    <hyperlink r:id="rId471" ref="G472"/>
    <hyperlink r:id="rId472" ref="G473"/>
    <hyperlink r:id="rId473" ref="G474"/>
    <hyperlink r:id="rId474" ref="G475"/>
    <hyperlink r:id="rId475" ref="G476"/>
    <hyperlink r:id="rId476" ref="G477"/>
    <hyperlink r:id="rId477" ref="G478"/>
    <hyperlink r:id="rId478" ref="G479"/>
    <hyperlink r:id="rId479" ref="G480"/>
    <hyperlink r:id="rId480" ref="G481"/>
    <hyperlink r:id="rId481" ref="G482"/>
    <hyperlink r:id="rId482" ref="G483"/>
    <hyperlink r:id="rId483" ref="G484"/>
    <hyperlink r:id="rId484" ref="G485"/>
    <hyperlink r:id="rId485" ref="G486"/>
    <hyperlink r:id="rId486" ref="G487"/>
    <hyperlink r:id="rId487" ref="G488"/>
    <hyperlink r:id="rId488" ref="G489"/>
    <hyperlink r:id="rId489" ref="G490"/>
    <hyperlink r:id="rId490" ref="G491"/>
    <hyperlink r:id="rId491" ref="G492"/>
    <hyperlink r:id="rId492" ref="G493"/>
    <hyperlink r:id="rId493" ref="G494"/>
    <hyperlink r:id="rId494" ref="G495"/>
    <hyperlink r:id="rId495" ref="G496"/>
    <hyperlink r:id="rId496" ref="G497"/>
    <hyperlink r:id="rId497" ref="G498"/>
    <hyperlink r:id="rId498" ref="G499"/>
    <hyperlink r:id="rId499" ref="G500"/>
    <hyperlink r:id="rId500" ref="G501"/>
    <hyperlink r:id="rId501" ref="G502"/>
    <hyperlink r:id="rId502" ref="G503"/>
    <hyperlink r:id="rId503" ref="G504"/>
    <hyperlink r:id="rId504" ref="G505"/>
    <hyperlink r:id="rId505" ref="G506"/>
    <hyperlink r:id="rId506" ref="G507"/>
    <hyperlink r:id="rId507" ref="G508"/>
    <hyperlink r:id="rId508" ref="G509"/>
    <hyperlink r:id="rId509" ref="G510"/>
    <hyperlink r:id="rId510" ref="G511"/>
    <hyperlink r:id="rId511" ref="G512"/>
    <hyperlink r:id="rId512" ref="G513"/>
    <hyperlink r:id="rId513" ref="G514"/>
    <hyperlink r:id="rId514" ref="G515"/>
    <hyperlink r:id="rId515" ref="G516"/>
    <hyperlink r:id="rId516" ref="G517"/>
    <hyperlink r:id="rId517" ref="G518"/>
    <hyperlink r:id="rId518" ref="G519"/>
    <hyperlink r:id="rId519" ref="G520"/>
    <hyperlink r:id="rId520" ref="G521"/>
    <hyperlink r:id="rId521" ref="G522"/>
    <hyperlink r:id="rId522" ref="G523"/>
    <hyperlink r:id="rId523" ref="G524"/>
    <hyperlink r:id="rId524" ref="G525"/>
    <hyperlink r:id="rId525" ref="G526"/>
    <hyperlink r:id="rId526" ref="G527"/>
    <hyperlink r:id="rId527" ref="G528"/>
    <hyperlink r:id="rId528" ref="G529"/>
    <hyperlink r:id="rId529" ref="G530"/>
    <hyperlink r:id="rId530" ref="G531"/>
    <hyperlink r:id="rId531" ref="G532"/>
    <hyperlink r:id="rId532" ref="G533"/>
    <hyperlink r:id="rId533" ref="G534"/>
    <hyperlink r:id="rId534" ref="G535"/>
    <hyperlink r:id="rId535" ref="G536"/>
    <hyperlink r:id="rId536" ref="G537"/>
    <hyperlink r:id="rId537" ref="G538"/>
    <hyperlink r:id="rId538" ref="G539"/>
    <hyperlink r:id="rId539" ref="G540"/>
    <hyperlink r:id="rId540" ref="G541"/>
    <hyperlink r:id="rId541" ref="G542"/>
    <hyperlink r:id="rId542" ref="G543"/>
    <hyperlink r:id="rId543" ref="G544"/>
    <hyperlink r:id="rId544" ref="G545"/>
    <hyperlink r:id="rId545" ref="G546"/>
    <hyperlink r:id="rId546" ref="G547"/>
    <hyperlink r:id="rId547" ref="G548"/>
    <hyperlink r:id="rId548" ref="G549"/>
    <hyperlink r:id="rId549" ref="G550"/>
    <hyperlink r:id="rId550" ref="G551"/>
    <hyperlink r:id="rId551" ref="G552"/>
    <hyperlink r:id="rId552" ref="G553"/>
    <hyperlink r:id="rId553" ref="G554"/>
    <hyperlink r:id="rId554" ref="G555"/>
    <hyperlink r:id="rId555" ref="G556"/>
    <hyperlink r:id="rId556" ref="G557"/>
    <hyperlink r:id="rId557" ref="G558"/>
    <hyperlink r:id="rId558" ref="G559"/>
    <hyperlink r:id="rId559" ref="G560"/>
    <hyperlink r:id="rId560" ref="G561"/>
    <hyperlink r:id="rId561" ref="G562"/>
    <hyperlink r:id="rId562" ref="G563"/>
    <hyperlink r:id="rId563" ref="G564"/>
    <hyperlink r:id="rId564" ref="G565"/>
    <hyperlink r:id="rId565" ref="G566"/>
    <hyperlink r:id="rId566" ref="G567"/>
    <hyperlink r:id="rId567" ref="G568"/>
    <hyperlink r:id="rId568" ref="G569"/>
    <hyperlink r:id="rId569" ref="G570"/>
    <hyperlink r:id="rId570" ref="G571"/>
    <hyperlink r:id="rId571" ref="G572"/>
    <hyperlink r:id="rId572" ref="G573"/>
    <hyperlink r:id="rId573" ref="G574"/>
    <hyperlink r:id="rId574" ref="G575"/>
    <hyperlink r:id="rId575" ref="G576"/>
    <hyperlink r:id="rId576" ref="G577"/>
    <hyperlink r:id="rId577" ref="G578"/>
    <hyperlink r:id="rId578" ref="G579"/>
    <hyperlink r:id="rId579" ref="G580"/>
    <hyperlink r:id="rId580" ref="G581"/>
    <hyperlink r:id="rId581" ref="G582"/>
    <hyperlink r:id="rId582" ref="G583"/>
    <hyperlink r:id="rId583" ref="G584"/>
    <hyperlink r:id="rId584" ref="G585"/>
    <hyperlink r:id="rId585" ref="G586"/>
    <hyperlink r:id="rId586" ref="G587"/>
    <hyperlink r:id="rId587" ref="G588"/>
    <hyperlink r:id="rId588" ref="G589"/>
    <hyperlink r:id="rId589" ref="G590"/>
    <hyperlink r:id="rId590" ref="G591"/>
    <hyperlink r:id="rId591" ref="G592"/>
    <hyperlink r:id="rId592" ref="G593"/>
    <hyperlink r:id="rId593" ref="G594"/>
    <hyperlink r:id="rId594" ref="G595"/>
    <hyperlink r:id="rId595" ref="G596"/>
    <hyperlink r:id="rId596" ref="G597"/>
    <hyperlink r:id="rId597" ref="G598"/>
    <hyperlink r:id="rId598" ref="G599"/>
    <hyperlink r:id="rId599" ref="G600"/>
    <hyperlink r:id="rId600" ref="G601"/>
    <hyperlink r:id="rId601" ref="G602"/>
    <hyperlink r:id="rId602" ref="G603"/>
    <hyperlink r:id="rId603" ref="G604"/>
    <hyperlink r:id="rId604" ref="G605"/>
    <hyperlink r:id="rId605" ref="G606"/>
    <hyperlink r:id="rId606" ref="G607"/>
    <hyperlink r:id="rId607" ref="G608"/>
    <hyperlink r:id="rId608" ref="G609"/>
    <hyperlink r:id="rId609" ref="G610"/>
    <hyperlink r:id="rId610" ref="G611"/>
    <hyperlink r:id="rId611" ref="G612"/>
    <hyperlink r:id="rId612" ref="G613"/>
    <hyperlink r:id="rId613" ref="G614"/>
    <hyperlink r:id="rId614" ref="G615"/>
    <hyperlink r:id="rId615" ref="G616"/>
    <hyperlink r:id="rId616" ref="G617"/>
    <hyperlink r:id="rId617" ref="G618"/>
    <hyperlink r:id="rId618" ref="G619"/>
    <hyperlink r:id="rId619" ref="G620"/>
    <hyperlink r:id="rId620" ref="G621"/>
    <hyperlink r:id="rId621" ref="G622"/>
    <hyperlink r:id="rId622" ref="G623"/>
    <hyperlink r:id="rId623" ref="G624"/>
    <hyperlink r:id="rId624" ref="G625"/>
    <hyperlink r:id="rId625" ref="G626"/>
    <hyperlink r:id="rId626" ref="G627"/>
    <hyperlink r:id="rId627" ref="G628"/>
    <hyperlink r:id="rId628" ref="G629"/>
    <hyperlink r:id="rId629" ref="G630"/>
    <hyperlink r:id="rId630" ref="G631"/>
    <hyperlink r:id="rId631" ref="G632"/>
    <hyperlink r:id="rId632" ref="G633"/>
    <hyperlink r:id="rId633" ref="G634"/>
    <hyperlink r:id="rId634" ref="G635"/>
    <hyperlink r:id="rId635" ref="G636"/>
    <hyperlink r:id="rId636" ref="G637"/>
    <hyperlink r:id="rId637" ref="G638"/>
    <hyperlink r:id="rId638" ref="G639"/>
    <hyperlink r:id="rId639" ref="G640"/>
    <hyperlink r:id="rId640" ref="G641"/>
    <hyperlink r:id="rId641" ref="G642"/>
    <hyperlink r:id="rId642" ref="G643"/>
    <hyperlink r:id="rId643" ref="G644"/>
    <hyperlink r:id="rId644" ref="G645"/>
    <hyperlink r:id="rId645" ref="G646"/>
    <hyperlink r:id="rId646" ref="G647"/>
    <hyperlink r:id="rId647" ref="G648"/>
    <hyperlink r:id="rId648" ref="G649"/>
    <hyperlink r:id="rId649" ref="G650"/>
    <hyperlink r:id="rId650" ref="G651"/>
    <hyperlink r:id="rId651" ref="G652"/>
    <hyperlink r:id="rId652" ref="G653"/>
    <hyperlink r:id="rId653" ref="G654"/>
    <hyperlink r:id="rId654" ref="G655"/>
    <hyperlink r:id="rId655" ref="G656"/>
    <hyperlink r:id="rId656" ref="G657"/>
    <hyperlink r:id="rId657" ref="G658"/>
    <hyperlink r:id="rId658" ref="G659"/>
    <hyperlink r:id="rId659" ref="G660"/>
    <hyperlink r:id="rId660" ref="G661"/>
    <hyperlink r:id="rId661" ref="G662"/>
    <hyperlink r:id="rId662" ref="G663"/>
    <hyperlink r:id="rId663" ref="G664"/>
    <hyperlink r:id="rId664" ref="G665"/>
    <hyperlink r:id="rId665" ref="G666"/>
    <hyperlink r:id="rId666" ref="G667"/>
    <hyperlink r:id="rId667" ref="G668"/>
    <hyperlink r:id="rId668" ref="G669"/>
    <hyperlink r:id="rId669" ref="G670"/>
    <hyperlink r:id="rId670" ref="G671"/>
    <hyperlink r:id="rId671" ref="G672"/>
    <hyperlink r:id="rId672" ref="G673"/>
    <hyperlink r:id="rId673" ref="G674"/>
    <hyperlink r:id="rId674" ref="G675"/>
    <hyperlink r:id="rId675" ref="G676"/>
    <hyperlink r:id="rId676" ref="G677"/>
    <hyperlink r:id="rId677" ref="G678"/>
    <hyperlink r:id="rId678" ref="G679"/>
    <hyperlink r:id="rId679" ref="G680"/>
    <hyperlink r:id="rId680" ref="G681"/>
    <hyperlink r:id="rId681" ref="G682"/>
    <hyperlink r:id="rId682" ref="G683"/>
    <hyperlink r:id="rId683" ref="G684"/>
    <hyperlink r:id="rId684" ref="G685"/>
    <hyperlink r:id="rId685" ref="G686"/>
    <hyperlink r:id="rId686" ref="G687"/>
    <hyperlink r:id="rId687" ref="G688"/>
    <hyperlink r:id="rId688" ref="G689"/>
    <hyperlink r:id="rId689" ref="G690"/>
    <hyperlink r:id="rId690" ref="G691"/>
    <hyperlink r:id="rId691" ref="G692"/>
    <hyperlink r:id="rId692" ref="G693"/>
    <hyperlink r:id="rId693" ref="G694"/>
    <hyperlink r:id="rId694" ref="G695"/>
    <hyperlink r:id="rId695" ref="G696"/>
    <hyperlink r:id="rId696" ref="G697"/>
    <hyperlink r:id="rId697" ref="G698"/>
    <hyperlink r:id="rId698" ref="G699"/>
    <hyperlink r:id="rId699" ref="G700"/>
    <hyperlink r:id="rId700" ref="G701"/>
    <hyperlink r:id="rId701" ref="G702"/>
    <hyperlink r:id="rId702" ref="G703"/>
    <hyperlink r:id="rId703" ref="G704"/>
    <hyperlink r:id="rId704" ref="G705"/>
    <hyperlink r:id="rId705" ref="G706"/>
    <hyperlink r:id="rId706" ref="G707"/>
    <hyperlink r:id="rId707" ref="G708"/>
    <hyperlink r:id="rId708" ref="G709"/>
    <hyperlink r:id="rId709" ref="G710"/>
    <hyperlink r:id="rId710" ref="G711"/>
    <hyperlink r:id="rId711" ref="G712"/>
    <hyperlink r:id="rId712" ref="G713"/>
    <hyperlink r:id="rId713" ref="G714"/>
    <hyperlink r:id="rId714" ref="G715"/>
    <hyperlink r:id="rId715" ref="G716"/>
    <hyperlink r:id="rId716" ref="G717"/>
    <hyperlink r:id="rId717" ref="G718"/>
    <hyperlink r:id="rId718" ref="G719"/>
    <hyperlink r:id="rId719" ref="G720"/>
    <hyperlink r:id="rId720" ref="G721"/>
    <hyperlink r:id="rId721" ref="G722"/>
    <hyperlink r:id="rId722" ref="G723"/>
    <hyperlink r:id="rId723" ref="G724"/>
    <hyperlink r:id="rId724" ref="G725"/>
    <hyperlink r:id="rId725" ref="G726"/>
    <hyperlink r:id="rId726" ref="G727"/>
    <hyperlink r:id="rId727" ref="G728"/>
    <hyperlink r:id="rId728" ref="G729"/>
    <hyperlink r:id="rId729" ref="G730"/>
    <hyperlink r:id="rId730" ref="G731"/>
    <hyperlink r:id="rId731" ref="G732"/>
    <hyperlink r:id="rId732" ref="G733"/>
    <hyperlink r:id="rId733" ref="G734"/>
    <hyperlink r:id="rId734" ref="G735"/>
    <hyperlink r:id="rId735" ref="G736"/>
    <hyperlink r:id="rId736" ref="G737"/>
    <hyperlink r:id="rId737" ref="G738"/>
    <hyperlink r:id="rId738" ref="G739"/>
    <hyperlink r:id="rId739" ref="G740"/>
    <hyperlink r:id="rId740" ref="G741"/>
    <hyperlink r:id="rId741" ref="G742"/>
    <hyperlink r:id="rId742" ref="G743"/>
    <hyperlink r:id="rId743" ref="G744"/>
    <hyperlink r:id="rId744" ref="G745"/>
    <hyperlink r:id="rId745" ref="G746"/>
    <hyperlink r:id="rId746" ref="G747"/>
    <hyperlink r:id="rId747" ref="G748"/>
    <hyperlink r:id="rId748" ref="G749"/>
    <hyperlink r:id="rId749" ref="G750"/>
    <hyperlink r:id="rId750" ref="G751"/>
    <hyperlink r:id="rId751" ref="G752"/>
    <hyperlink r:id="rId752" ref="G753"/>
    <hyperlink r:id="rId753" ref="G754"/>
    <hyperlink r:id="rId754" ref="G755"/>
    <hyperlink r:id="rId755" ref="G756"/>
    <hyperlink r:id="rId756" ref="G757"/>
    <hyperlink r:id="rId757" ref="G758"/>
    <hyperlink r:id="rId758" ref="G759"/>
    <hyperlink r:id="rId759" ref="G760"/>
    <hyperlink r:id="rId760" ref="G761"/>
    <hyperlink r:id="rId761" ref="G762"/>
    <hyperlink r:id="rId762" ref="G763"/>
    <hyperlink r:id="rId763" ref="G764"/>
    <hyperlink r:id="rId764" ref="G765"/>
    <hyperlink r:id="rId765" ref="G766"/>
    <hyperlink r:id="rId766" ref="G767"/>
    <hyperlink r:id="rId767" ref="G768"/>
    <hyperlink r:id="rId768" ref="G769"/>
    <hyperlink r:id="rId769" ref="G770"/>
    <hyperlink r:id="rId770" ref="G771"/>
    <hyperlink r:id="rId771" ref="G772"/>
    <hyperlink r:id="rId772" ref="G773"/>
    <hyperlink r:id="rId773" ref="G774"/>
    <hyperlink r:id="rId774" ref="G775"/>
    <hyperlink r:id="rId775" ref="G776"/>
    <hyperlink r:id="rId776" ref="G777"/>
    <hyperlink r:id="rId777" ref="G778"/>
    <hyperlink r:id="rId778" ref="G779"/>
    <hyperlink r:id="rId779" ref="G780"/>
    <hyperlink r:id="rId780" ref="G781"/>
    <hyperlink r:id="rId781" ref="G782"/>
    <hyperlink r:id="rId782" ref="G783"/>
    <hyperlink r:id="rId783" ref="G784"/>
    <hyperlink r:id="rId784" ref="G785"/>
    <hyperlink r:id="rId785" ref="G786"/>
    <hyperlink r:id="rId786" ref="G787"/>
    <hyperlink r:id="rId787" ref="G788"/>
    <hyperlink r:id="rId788" ref="G789"/>
    <hyperlink r:id="rId789" ref="G790"/>
    <hyperlink r:id="rId790" ref="G791"/>
    <hyperlink r:id="rId791" ref="G792"/>
    <hyperlink r:id="rId792" ref="G793"/>
    <hyperlink r:id="rId793" ref="G794"/>
    <hyperlink r:id="rId794" ref="G795"/>
    <hyperlink r:id="rId795" ref="G796"/>
    <hyperlink r:id="rId796" ref="G797"/>
    <hyperlink r:id="rId797" ref="G798"/>
    <hyperlink r:id="rId798" ref="G799"/>
    <hyperlink r:id="rId799" ref="G800"/>
    <hyperlink r:id="rId800" ref="G801"/>
    <hyperlink r:id="rId801" ref="G802"/>
    <hyperlink r:id="rId802" ref="G803"/>
    <hyperlink r:id="rId803" ref="G804"/>
    <hyperlink r:id="rId804" ref="G805"/>
    <hyperlink r:id="rId805" ref="G806"/>
    <hyperlink r:id="rId806" ref="G807"/>
    <hyperlink r:id="rId807" ref="G808"/>
    <hyperlink r:id="rId808" ref="G809"/>
    <hyperlink r:id="rId809" ref="G810"/>
    <hyperlink r:id="rId810" ref="G811"/>
    <hyperlink r:id="rId811" ref="G812"/>
    <hyperlink r:id="rId812" ref="G813"/>
    <hyperlink r:id="rId813" ref="G814"/>
    <hyperlink r:id="rId814" ref="G815"/>
    <hyperlink r:id="rId815" ref="G816"/>
    <hyperlink r:id="rId816" ref="G817"/>
    <hyperlink r:id="rId817" ref="G818"/>
    <hyperlink r:id="rId818" ref="G819"/>
    <hyperlink r:id="rId819" ref="G820"/>
    <hyperlink r:id="rId820" ref="G821"/>
    <hyperlink r:id="rId821" ref="G822"/>
    <hyperlink r:id="rId822" ref="G823"/>
    <hyperlink r:id="rId823" ref="G824"/>
    <hyperlink r:id="rId824" ref="G825"/>
    <hyperlink r:id="rId825" ref="G826"/>
    <hyperlink r:id="rId826" ref="G827"/>
    <hyperlink r:id="rId827" ref="G828"/>
    <hyperlink r:id="rId828" ref="G829"/>
    <hyperlink r:id="rId829" ref="G830"/>
    <hyperlink r:id="rId830" ref="G831"/>
    <hyperlink r:id="rId831" ref="G832"/>
    <hyperlink r:id="rId832" ref="G833"/>
    <hyperlink r:id="rId833" ref="G834"/>
    <hyperlink r:id="rId834" ref="G835"/>
    <hyperlink r:id="rId835" ref="G836"/>
    <hyperlink r:id="rId836" ref="G837"/>
    <hyperlink r:id="rId837" ref="G838"/>
    <hyperlink r:id="rId838" ref="G839"/>
    <hyperlink r:id="rId839" ref="G840"/>
    <hyperlink r:id="rId840" ref="G841"/>
    <hyperlink r:id="rId841" ref="G842"/>
    <hyperlink r:id="rId842" ref="G843"/>
    <hyperlink r:id="rId843" ref="G844"/>
    <hyperlink r:id="rId844" ref="G845"/>
    <hyperlink r:id="rId845" ref="G846"/>
    <hyperlink r:id="rId846" ref="G847"/>
    <hyperlink r:id="rId847" ref="G848"/>
    <hyperlink r:id="rId848" ref="G849"/>
    <hyperlink r:id="rId849" ref="G850"/>
    <hyperlink r:id="rId850" ref="G851"/>
    <hyperlink r:id="rId851" ref="G852"/>
    <hyperlink r:id="rId852" ref="G853"/>
    <hyperlink r:id="rId853" ref="G854"/>
    <hyperlink r:id="rId854" ref="G855"/>
    <hyperlink r:id="rId855" ref="G856"/>
    <hyperlink r:id="rId856" ref="G857"/>
    <hyperlink r:id="rId857" ref="G858"/>
    <hyperlink r:id="rId858" ref="G859"/>
    <hyperlink r:id="rId859" ref="G860"/>
    <hyperlink r:id="rId860" ref="G861"/>
    <hyperlink r:id="rId861" ref="G862"/>
    <hyperlink r:id="rId862" ref="G863"/>
    <hyperlink r:id="rId863" ref="G864"/>
    <hyperlink r:id="rId864" ref="G865"/>
    <hyperlink r:id="rId865" ref="G866"/>
    <hyperlink r:id="rId866" ref="G867"/>
    <hyperlink r:id="rId867" ref="G868"/>
    <hyperlink r:id="rId868" ref="G869"/>
    <hyperlink r:id="rId869" ref="G870"/>
    <hyperlink r:id="rId870" ref="G871"/>
    <hyperlink r:id="rId871" ref="G872"/>
    <hyperlink r:id="rId872" ref="G873"/>
    <hyperlink r:id="rId873" ref="G874"/>
    <hyperlink r:id="rId874" ref="G875"/>
    <hyperlink r:id="rId875" ref="G876"/>
    <hyperlink r:id="rId876" ref="G877"/>
    <hyperlink r:id="rId877" ref="G878"/>
    <hyperlink r:id="rId878" ref="G879"/>
    <hyperlink r:id="rId879" ref="G880"/>
    <hyperlink r:id="rId880" ref="G881"/>
    <hyperlink r:id="rId881" ref="G882"/>
    <hyperlink r:id="rId882" ref="G883"/>
    <hyperlink r:id="rId883" ref="G884"/>
    <hyperlink r:id="rId884" ref="G885"/>
    <hyperlink r:id="rId885" ref="G886"/>
    <hyperlink r:id="rId886" ref="G887"/>
    <hyperlink r:id="rId887" ref="G888"/>
    <hyperlink r:id="rId888" ref="G889"/>
    <hyperlink r:id="rId889" ref="G890"/>
    <hyperlink r:id="rId890" ref="G891"/>
    <hyperlink r:id="rId891" ref="G892"/>
    <hyperlink r:id="rId892" ref="G893"/>
    <hyperlink r:id="rId893" ref="G894"/>
    <hyperlink r:id="rId894" ref="G895"/>
    <hyperlink r:id="rId895" ref="G896"/>
    <hyperlink r:id="rId896" ref="G897"/>
    <hyperlink r:id="rId897" ref="G898"/>
    <hyperlink r:id="rId898" ref="G899"/>
    <hyperlink r:id="rId899" ref="G900"/>
    <hyperlink r:id="rId900" ref="G901"/>
    <hyperlink r:id="rId901" ref="G902"/>
    <hyperlink r:id="rId902" ref="G903"/>
    <hyperlink r:id="rId903" ref="G904"/>
    <hyperlink r:id="rId904" ref="G905"/>
    <hyperlink r:id="rId905" ref="G906"/>
    <hyperlink r:id="rId906" ref="G907"/>
    <hyperlink r:id="rId907" ref="G908"/>
    <hyperlink r:id="rId908" ref="G909"/>
    <hyperlink r:id="rId909" ref="G910"/>
    <hyperlink r:id="rId910" ref="G911"/>
    <hyperlink r:id="rId911" ref="G912"/>
    <hyperlink r:id="rId912" ref="G913"/>
    <hyperlink r:id="rId913" ref="G914"/>
    <hyperlink r:id="rId914" ref="G915"/>
    <hyperlink r:id="rId915" ref="G916"/>
    <hyperlink r:id="rId916" ref="G917"/>
    <hyperlink r:id="rId917" ref="G918"/>
    <hyperlink r:id="rId918" ref="G919"/>
    <hyperlink r:id="rId919" ref="G920"/>
    <hyperlink r:id="rId920" ref="G921"/>
    <hyperlink r:id="rId921" ref="G922"/>
    <hyperlink r:id="rId922" ref="G923"/>
    <hyperlink r:id="rId923" ref="G924"/>
    <hyperlink r:id="rId924" ref="G925"/>
    <hyperlink r:id="rId925" ref="G926"/>
    <hyperlink r:id="rId926" ref="G927"/>
    <hyperlink r:id="rId927" ref="G928"/>
    <hyperlink r:id="rId928" ref="G929"/>
    <hyperlink r:id="rId929" ref="G930"/>
    <hyperlink r:id="rId930" ref="G931"/>
    <hyperlink r:id="rId931" ref="G932"/>
    <hyperlink r:id="rId932" ref="G933"/>
    <hyperlink r:id="rId933" ref="G934"/>
    <hyperlink r:id="rId934" ref="G935"/>
    <hyperlink r:id="rId935" ref="G936"/>
    <hyperlink r:id="rId936" ref="G937"/>
    <hyperlink r:id="rId937" ref="G938"/>
    <hyperlink r:id="rId938" ref="G939"/>
    <hyperlink r:id="rId939" ref="G940"/>
    <hyperlink r:id="rId940" ref="G941"/>
    <hyperlink r:id="rId941" ref="G942"/>
    <hyperlink r:id="rId942" ref="G943"/>
    <hyperlink r:id="rId943" ref="G944"/>
    <hyperlink r:id="rId944" ref="G945"/>
    <hyperlink r:id="rId945" ref="G946"/>
    <hyperlink r:id="rId946" ref="G947"/>
    <hyperlink r:id="rId947" ref="G948"/>
    <hyperlink r:id="rId948" ref="G949"/>
    <hyperlink r:id="rId949" ref="G950"/>
    <hyperlink r:id="rId950" ref="G951"/>
    <hyperlink r:id="rId951" ref="G952"/>
    <hyperlink r:id="rId952" ref="G953"/>
    <hyperlink r:id="rId953" ref="G954"/>
    <hyperlink r:id="rId954" ref="G955"/>
    <hyperlink r:id="rId955" ref="G956"/>
    <hyperlink r:id="rId956" ref="G957"/>
    <hyperlink r:id="rId957" ref="G958"/>
    <hyperlink r:id="rId958" ref="G959"/>
    <hyperlink r:id="rId959" ref="G960"/>
    <hyperlink r:id="rId960" ref="G961"/>
    <hyperlink r:id="rId961" ref="G962"/>
    <hyperlink r:id="rId962" ref="G963"/>
    <hyperlink r:id="rId963" ref="G964"/>
    <hyperlink r:id="rId964" ref="G965"/>
    <hyperlink r:id="rId965" ref="G966"/>
    <hyperlink r:id="rId966" ref="G967"/>
    <hyperlink r:id="rId967" ref="G968"/>
    <hyperlink r:id="rId968" ref="G969"/>
    <hyperlink r:id="rId969" ref="G970"/>
    <hyperlink r:id="rId970" ref="G971"/>
    <hyperlink r:id="rId971" ref="G972"/>
    <hyperlink r:id="rId972" ref="G973"/>
    <hyperlink r:id="rId973" ref="G974"/>
    <hyperlink r:id="rId974" ref="G975"/>
    <hyperlink r:id="rId975" ref="G976"/>
    <hyperlink r:id="rId976" ref="G977"/>
    <hyperlink r:id="rId977" ref="G978"/>
    <hyperlink r:id="rId978" ref="G979"/>
    <hyperlink r:id="rId979" ref="G980"/>
    <hyperlink r:id="rId980" ref="G981"/>
    <hyperlink r:id="rId981" ref="G982"/>
    <hyperlink r:id="rId982" ref="G983"/>
    <hyperlink r:id="rId983" ref="G984"/>
    <hyperlink r:id="rId984" ref="G985"/>
    <hyperlink r:id="rId985" ref="G986"/>
    <hyperlink r:id="rId986" ref="G987"/>
    <hyperlink r:id="rId987" ref="G988"/>
    <hyperlink r:id="rId988" ref="G989"/>
    <hyperlink r:id="rId989" ref="G990"/>
    <hyperlink r:id="rId990" ref="G991"/>
    <hyperlink r:id="rId991" ref="G992"/>
    <hyperlink r:id="rId992" ref="G993"/>
    <hyperlink r:id="rId993" ref="G994"/>
    <hyperlink r:id="rId994" ref="G995"/>
    <hyperlink r:id="rId995" ref="G996"/>
    <hyperlink r:id="rId996" ref="G997"/>
    <hyperlink r:id="rId997" ref="G998"/>
    <hyperlink r:id="rId998" ref="G999"/>
    <hyperlink r:id="rId999" ref="G1000"/>
    <hyperlink r:id="rId1000" ref="G1001"/>
    <hyperlink r:id="rId1001" ref="G1002"/>
    <hyperlink r:id="rId1002" ref="G1003"/>
    <hyperlink r:id="rId1003" ref="G1004"/>
    <hyperlink r:id="rId1004" ref="G1005"/>
    <hyperlink r:id="rId1005" ref="G1006"/>
    <hyperlink r:id="rId1006" ref="G1007"/>
    <hyperlink r:id="rId1007" ref="G1008"/>
    <hyperlink r:id="rId1008" ref="G1009"/>
    <hyperlink r:id="rId1009" ref="G1010"/>
    <hyperlink r:id="rId1010" ref="G1011"/>
    <hyperlink r:id="rId1011" ref="G1012"/>
    <hyperlink r:id="rId1012" ref="G1013"/>
    <hyperlink r:id="rId1013" ref="G1014"/>
    <hyperlink r:id="rId1014" ref="G1015"/>
    <hyperlink r:id="rId1015" ref="G1016"/>
    <hyperlink r:id="rId1016" ref="G1017"/>
    <hyperlink r:id="rId1017" ref="G1018"/>
    <hyperlink r:id="rId1018" ref="G1019"/>
    <hyperlink r:id="rId1019" ref="G1020"/>
    <hyperlink r:id="rId1020" ref="G1021"/>
    <hyperlink r:id="rId1021" ref="G1022"/>
    <hyperlink r:id="rId1022" ref="G1023"/>
    <hyperlink r:id="rId1023" ref="G1024"/>
    <hyperlink r:id="rId1024" ref="G1025"/>
    <hyperlink r:id="rId1025" ref="G1026"/>
    <hyperlink r:id="rId1026" ref="G1027"/>
    <hyperlink r:id="rId1027" ref="G1028"/>
    <hyperlink r:id="rId1028" ref="G1029"/>
    <hyperlink r:id="rId1029" ref="G1030"/>
    <hyperlink r:id="rId1030" ref="G1031"/>
    <hyperlink r:id="rId1031" ref="G1032"/>
    <hyperlink r:id="rId1032" ref="G1033"/>
    <hyperlink r:id="rId1033" ref="G1034"/>
    <hyperlink r:id="rId1034" ref="G1035"/>
    <hyperlink r:id="rId1035" ref="G1036"/>
    <hyperlink r:id="rId1036" ref="G1037"/>
    <hyperlink r:id="rId1037" ref="G1038"/>
    <hyperlink r:id="rId1038" ref="G1039"/>
    <hyperlink r:id="rId1039" ref="G1040"/>
    <hyperlink r:id="rId1040" ref="G1041"/>
    <hyperlink r:id="rId1041" ref="G1042"/>
    <hyperlink r:id="rId1042" ref="G1043"/>
    <hyperlink r:id="rId1043" ref="G1044"/>
    <hyperlink r:id="rId1044" ref="G1045"/>
    <hyperlink r:id="rId1045" ref="G1046"/>
    <hyperlink r:id="rId1046" ref="G1047"/>
    <hyperlink r:id="rId1047" ref="G1048"/>
    <hyperlink r:id="rId1048" ref="G1049"/>
    <hyperlink r:id="rId1049" ref="G1050"/>
    <hyperlink r:id="rId1050" ref="G1051"/>
    <hyperlink r:id="rId1051" ref="G1052"/>
    <hyperlink r:id="rId1052" ref="G1053"/>
    <hyperlink r:id="rId1053" ref="G1054"/>
    <hyperlink r:id="rId1054" ref="G1055"/>
    <hyperlink r:id="rId1055" ref="G1056"/>
    <hyperlink r:id="rId1056" ref="G1057"/>
    <hyperlink r:id="rId1057" ref="G1058"/>
    <hyperlink r:id="rId1058" ref="G1059"/>
    <hyperlink r:id="rId1059" ref="G1060"/>
    <hyperlink r:id="rId1060" ref="G1061"/>
    <hyperlink r:id="rId1061" ref="G1062"/>
    <hyperlink r:id="rId1062" ref="G1063"/>
    <hyperlink r:id="rId1063" ref="G1064"/>
    <hyperlink r:id="rId1064" ref="G1065"/>
    <hyperlink r:id="rId1065" ref="G1066"/>
    <hyperlink r:id="rId1066" ref="G1067"/>
    <hyperlink r:id="rId1067" ref="G1068"/>
    <hyperlink r:id="rId1068" ref="G1069"/>
    <hyperlink r:id="rId1069" ref="G1070"/>
    <hyperlink r:id="rId1070" ref="G1071"/>
    <hyperlink r:id="rId1071" ref="G1072"/>
    <hyperlink r:id="rId1072" ref="G1073"/>
    <hyperlink r:id="rId1073" ref="G1074"/>
    <hyperlink r:id="rId1074" ref="G1075"/>
    <hyperlink r:id="rId1075" ref="G1076"/>
    <hyperlink r:id="rId1076" ref="G1077"/>
    <hyperlink r:id="rId1077" ref="G1078"/>
    <hyperlink r:id="rId1078" ref="G1079"/>
    <hyperlink r:id="rId1079" ref="G1080"/>
    <hyperlink r:id="rId1080" ref="G1081"/>
    <hyperlink r:id="rId1081" ref="G1082"/>
    <hyperlink r:id="rId1082" ref="G1083"/>
    <hyperlink r:id="rId1083" ref="G1084"/>
    <hyperlink r:id="rId1084" ref="G1085"/>
    <hyperlink r:id="rId1085" ref="G1086"/>
    <hyperlink r:id="rId1086" ref="G1087"/>
    <hyperlink r:id="rId1087" ref="G1088"/>
    <hyperlink r:id="rId1088" ref="G1089"/>
    <hyperlink r:id="rId1089" ref="G1090"/>
    <hyperlink r:id="rId1090" ref="G1091"/>
    <hyperlink r:id="rId1091" ref="G1092"/>
    <hyperlink r:id="rId1092" ref="G1093"/>
    <hyperlink r:id="rId1093" ref="G1094"/>
    <hyperlink r:id="rId1094" ref="G1095"/>
    <hyperlink r:id="rId1095" ref="G1096"/>
    <hyperlink r:id="rId1096" ref="G1097"/>
    <hyperlink r:id="rId1097" ref="G1098"/>
    <hyperlink r:id="rId1098" ref="G1099"/>
    <hyperlink r:id="rId1099" ref="G1100"/>
    <hyperlink r:id="rId1100" ref="G1101"/>
    <hyperlink r:id="rId1101" ref="G1102"/>
    <hyperlink r:id="rId1102" ref="G1103"/>
    <hyperlink r:id="rId1103" ref="G1104"/>
    <hyperlink r:id="rId1104" ref="G1105"/>
    <hyperlink r:id="rId1105" ref="G1106"/>
    <hyperlink r:id="rId1106" ref="G1107"/>
    <hyperlink r:id="rId1107" ref="G1108"/>
    <hyperlink r:id="rId1108" ref="G1109"/>
    <hyperlink r:id="rId1109" ref="G1110"/>
    <hyperlink r:id="rId1110" ref="G1111"/>
    <hyperlink r:id="rId1111" ref="G1112"/>
    <hyperlink r:id="rId1112" ref="G1113"/>
    <hyperlink r:id="rId1113" ref="G1114"/>
    <hyperlink r:id="rId1114" ref="G1115"/>
    <hyperlink r:id="rId1115" ref="G1116"/>
    <hyperlink r:id="rId1116" ref="G1117"/>
    <hyperlink r:id="rId1117" ref="G1118"/>
    <hyperlink r:id="rId1118" ref="G1119"/>
    <hyperlink r:id="rId1119" ref="G1120"/>
    <hyperlink r:id="rId1120" ref="G1121"/>
    <hyperlink r:id="rId1121" ref="G1122"/>
    <hyperlink r:id="rId1122" ref="G1123"/>
    <hyperlink r:id="rId1123" ref="G1124"/>
    <hyperlink r:id="rId1124" ref="G1125"/>
    <hyperlink r:id="rId1125" ref="G1126"/>
    <hyperlink r:id="rId1126" ref="G1127"/>
    <hyperlink r:id="rId1127" ref="G1128"/>
    <hyperlink r:id="rId1128" ref="G1129"/>
    <hyperlink r:id="rId1129" ref="G1130"/>
    <hyperlink r:id="rId1130" ref="G1131"/>
    <hyperlink r:id="rId1131" ref="G1132"/>
    <hyperlink r:id="rId1132" ref="G1133"/>
    <hyperlink r:id="rId1133" ref="G1134"/>
    <hyperlink r:id="rId1134" ref="G1135"/>
    <hyperlink r:id="rId1135" ref="G1136"/>
    <hyperlink r:id="rId1136" ref="G1137"/>
    <hyperlink r:id="rId1137" ref="G1138"/>
    <hyperlink r:id="rId1138" ref="G1139"/>
    <hyperlink r:id="rId1139" ref="G1140"/>
    <hyperlink r:id="rId1140" ref="G1141"/>
    <hyperlink r:id="rId1141" ref="G1142"/>
    <hyperlink r:id="rId1142" ref="G1143"/>
    <hyperlink r:id="rId1143" ref="G1144"/>
    <hyperlink r:id="rId1144" ref="G1145"/>
    <hyperlink r:id="rId1145" ref="G1146"/>
    <hyperlink r:id="rId1146" ref="G1147"/>
    <hyperlink r:id="rId1147" ref="G1148"/>
    <hyperlink r:id="rId1148" ref="G1149"/>
    <hyperlink r:id="rId1149" ref="G1150"/>
    <hyperlink r:id="rId1150" ref="G1151"/>
    <hyperlink r:id="rId1151" ref="G1152"/>
    <hyperlink r:id="rId1152" ref="G1153"/>
    <hyperlink r:id="rId1153" ref="G1154"/>
    <hyperlink r:id="rId1154" ref="G1155"/>
    <hyperlink r:id="rId1155" ref="G1156"/>
    <hyperlink r:id="rId1156" ref="G1157"/>
    <hyperlink r:id="rId1157" ref="G1158"/>
    <hyperlink r:id="rId1158" ref="G1159"/>
    <hyperlink r:id="rId1159" ref="G1160"/>
    <hyperlink r:id="rId1160" ref="G1161"/>
    <hyperlink r:id="rId1161" ref="G1162"/>
    <hyperlink r:id="rId1162" ref="G1163"/>
    <hyperlink r:id="rId1163" ref="G1164"/>
    <hyperlink r:id="rId1164" ref="G1165"/>
    <hyperlink r:id="rId1165" ref="G1166"/>
    <hyperlink r:id="rId1166" ref="G1167"/>
    <hyperlink r:id="rId1167" ref="G1168"/>
    <hyperlink r:id="rId1168" ref="G1169"/>
    <hyperlink r:id="rId1169" ref="G1170"/>
    <hyperlink r:id="rId1170" ref="G1171"/>
    <hyperlink r:id="rId1171" ref="G1172"/>
    <hyperlink r:id="rId1172" ref="G1173"/>
    <hyperlink r:id="rId1173" ref="G1174"/>
    <hyperlink r:id="rId1174" ref="G1175"/>
    <hyperlink r:id="rId1175" ref="G1176"/>
    <hyperlink r:id="rId1176" ref="G1177"/>
    <hyperlink r:id="rId1177" ref="G1178"/>
    <hyperlink r:id="rId1178" ref="G1179"/>
    <hyperlink r:id="rId1179" ref="G1180"/>
    <hyperlink r:id="rId1180" ref="G1181"/>
    <hyperlink r:id="rId1181" ref="G1182"/>
    <hyperlink r:id="rId1182" ref="G1183"/>
    <hyperlink r:id="rId1183" ref="G1184"/>
    <hyperlink r:id="rId1184" ref="G1185"/>
    <hyperlink r:id="rId1185" ref="G1186"/>
    <hyperlink r:id="rId1186" ref="G1187"/>
    <hyperlink r:id="rId1187" ref="G1188"/>
    <hyperlink r:id="rId1188" ref="G1189"/>
    <hyperlink r:id="rId1189" ref="G1190"/>
    <hyperlink r:id="rId1190" ref="G1191"/>
    <hyperlink r:id="rId1191" ref="G1192"/>
    <hyperlink r:id="rId1192" ref="G1193"/>
    <hyperlink r:id="rId1193" ref="G1194"/>
    <hyperlink r:id="rId1194" ref="G1195"/>
    <hyperlink r:id="rId1195" ref="G1196"/>
    <hyperlink r:id="rId1196" ref="G1197"/>
    <hyperlink r:id="rId1197" ref="G1198"/>
    <hyperlink r:id="rId1198" ref="G1199"/>
    <hyperlink r:id="rId1199" ref="G1200"/>
    <hyperlink r:id="rId1200" ref="G1201"/>
    <hyperlink r:id="rId1201" ref="G1202"/>
    <hyperlink r:id="rId1202" ref="G1203"/>
    <hyperlink r:id="rId1203" ref="G1204"/>
    <hyperlink r:id="rId1204" ref="G1205"/>
    <hyperlink r:id="rId1205" ref="G1206"/>
    <hyperlink r:id="rId1206" ref="G1207"/>
    <hyperlink r:id="rId1207" ref="G1208"/>
    <hyperlink r:id="rId1208" ref="G1209"/>
    <hyperlink r:id="rId1209" ref="G1210"/>
    <hyperlink r:id="rId1210" ref="G1211"/>
    <hyperlink r:id="rId1211" ref="G1212"/>
    <hyperlink r:id="rId1212" ref="G1213"/>
    <hyperlink r:id="rId1213" ref="G1214"/>
    <hyperlink r:id="rId1214" ref="G1215"/>
    <hyperlink r:id="rId1215" ref="G1216"/>
    <hyperlink r:id="rId1216" ref="G1217"/>
    <hyperlink r:id="rId1217" ref="G1218"/>
    <hyperlink r:id="rId1218" ref="G1219"/>
    <hyperlink r:id="rId1219" ref="G1220"/>
    <hyperlink r:id="rId1220" ref="G1221"/>
    <hyperlink r:id="rId1221" ref="G1222"/>
    <hyperlink r:id="rId1222" ref="G1223"/>
    <hyperlink r:id="rId1223" ref="G1224"/>
    <hyperlink r:id="rId1224" ref="G1225"/>
    <hyperlink r:id="rId1225" ref="G1226"/>
    <hyperlink r:id="rId1226" ref="G1227"/>
    <hyperlink r:id="rId1227" ref="G1228"/>
    <hyperlink r:id="rId1228" ref="G1229"/>
    <hyperlink r:id="rId1229" ref="G1230"/>
    <hyperlink r:id="rId1230" ref="G1231"/>
    <hyperlink r:id="rId1231" ref="G1232"/>
    <hyperlink r:id="rId1232" ref="G1233"/>
    <hyperlink r:id="rId1233" ref="G1234"/>
    <hyperlink r:id="rId1234" ref="G1235"/>
    <hyperlink r:id="rId1235" ref="G1236"/>
    <hyperlink r:id="rId1236" ref="G1237"/>
    <hyperlink r:id="rId1237" ref="G1238"/>
    <hyperlink r:id="rId1238" ref="G1239"/>
    <hyperlink r:id="rId1239" ref="G1240"/>
    <hyperlink r:id="rId1240" ref="G1241"/>
    <hyperlink r:id="rId1241" ref="G1242"/>
    <hyperlink r:id="rId1242" ref="G1243"/>
    <hyperlink r:id="rId1243" ref="G1244"/>
    <hyperlink r:id="rId1244" ref="G1245"/>
    <hyperlink r:id="rId1245" ref="G1246"/>
    <hyperlink r:id="rId1246" ref="G1247"/>
    <hyperlink r:id="rId1247" ref="G1248"/>
    <hyperlink r:id="rId1248" ref="G1249"/>
    <hyperlink r:id="rId1249" ref="G1250"/>
    <hyperlink r:id="rId1250" ref="G1251"/>
    <hyperlink r:id="rId1251" ref="G1252"/>
    <hyperlink r:id="rId1252" ref="G1253"/>
    <hyperlink r:id="rId1253" ref="G1254"/>
    <hyperlink r:id="rId1254" ref="G1255"/>
    <hyperlink r:id="rId1255" ref="G1256"/>
    <hyperlink r:id="rId1256" ref="G1257"/>
    <hyperlink r:id="rId1257" ref="G1258"/>
    <hyperlink r:id="rId1258" ref="G1259"/>
    <hyperlink r:id="rId1259" ref="G1260"/>
    <hyperlink r:id="rId1260" ref="G1261"/>
    <hyperlink r:id="rId1261" ref="G1262"/>
    <hyperlink r:id="rId1262" ref="G1263"/>
    <hyperlink r:id="rId1263" ref="G1264"/>
    <hyperlink r:id="rId1264" ref="G1265"/>
    <hyperlink r:id="rId1265" ref="G1266"/>
    <hyperlink r:id="rId1266" ref="G1267"/>
    <hyperlink r:id="rId1267" ref="G1268"/>
    <hyperlink r:id="rId1268" ref="G1269"/>
    <hyperlink r:id="rId1269" ref="G1270"/>
    <hyperlink r:id="rId1270" ref="G1271"/>
    <hyperlink r:id="rId1271" ref="G1272"/>
    <hyperlink r:id="rId1272" ref="G1273"/>
    <hyperlink r:id="rId1273" ref="G1274"/>
    <hyperlink r:id="rId1274" ref="G1275"/>
    <hyperlink r:id="rId1275" ref="G1276"/>
    <hyperlink r:id="rId1276" ref="G1277"/>
    <hyperlink r:id="rId1277" ref="G1278"/>
    <hyperlink r:id="rId1278" ref="G1279"/>
    <hyperlink r:id="rId1279" ref="G1280"/>
    <hyperlink r:id="rId1280" ref="G1281"/>
    <hyperlink r:id="rId1281" ref="G1282"/>
    <hyperlink r:id="rId1282" ref="G1283"/>
    <hyperlink r:id="rId1283" ref="G1284"/>
    <hyperlink r:id="rId1284" ref="G1285"/>
    <hyperlink r:id="rId1285" ref="G1286"/>
    <hyperlink r:id="rId1286" ref="G1287"/>
    <hyperlink r:id="rId1287" ref="G1288"/>
    <hyperlink r:id="rId1288" ref="G1289"/>
    <hyperlink r:id="rId1289" ref="G1290"/>
    <hyperlink r:id="rId1290" ref="G1291"/>
    <hyperlink r:id="rId1291" ref="G1292"/>
    <hyperlink r:id="rId1292" ref="G1293"/>
    <hyperlink r:id="rId1293" ref="G1294"/>
    <hyperlink r:id="rId1294" ref="G1295"/>
    <hyperlink r:id="rId1295" ref="G1296"/>
    <hyperlink r:id="rId1296" ref="G1297"/>
    <hyperlink r:id="rId1297" ref="G1298"/>
    <hyperlink r:id="rId1298" ref="G1299"/>
    <hyperlink r:id="rId1299" ref="G1300"/>
    <hyperlink r:id="rId1300" ref="G1301"/>
    <hyperlink r:id="rId1301" ref="G1302"/>
    <hyperlink r:id="rId1302" ref="G1303"/>
    <hyperlink r:id="rId1303" ref="G1304"/>
    <hyperlink r:id="rId1304" ref="G1305"/>
    <hyperlink r:id="rId1305" ref="G1306"/>
    <hyperlink r:id="rId1306" ref="G1307"/>
    <hyperlink r:id="rId1307" ref="G1308"/>
    <hyperlink r:id="rId1308" ref="G1309"/>
    <hyperlink r:id="rId1309" ref="G1310"/>
    <hyperlink r:id="rId1310" ref="G1311"/>
    <hyperlink r:id="rId1311" ref="G1312"/>
    <hyperlink r:id="rId1312" ref="G1313"/>
    <hyperlink r:id="rId1313" ref="G1314"/>
    <hyperlink r:id="rId1314" ref="G1315"/>
    <hyperlink r:id="rId1315" ref="G1316"/>
    <hyperlink r:id="rId1316" ref="G1317"/>
    <hyperlink r:id="rId1317" ref="G1318"/>
    <hyperlink r:id="rId1318" ref="G1319"/>
    <hyperlink r:id="rId1319" ref="G1320"/>
    <hyperlink r:id="rId1320" ref="G1321"/>
    <hyperlink r:id="rId1321" ref="G1322"/>
    <hyperlink r:id="rId1322" ref="G1323"/>
    <hyperlink r:id="rId1323" ref="G1324"/>
    <hyperlink r:id="rId1324" ref="G1325"/>
    <hyperlink r:id="rId1325" ref="G1326"/>
    <hyperlink r:id="rId1326" ref="G1327"/>
    <hyperlink r:id="rId1327" ref="G1328"/>
    <hyperlink r:id="rId1328" ref="G1329"/>
    <hyperlink r:id="rId1329" ref="G1330"/>
    <hyperlink r:id="rId1330" ref="G1331"/>
    <hyperlink r:id="rId1331" ref="G1332"/>
    <hyperlink r:id="rId1332" ref="G1333"/>
    <hyperlink r:id="rId1333" ref="G1334"/>
    <hyperlink r:id="rId1334" ref="G1335"/>
    <hyperlink r:id="rId1335" ref="G1336"/>
    <hyperlink r:id="rId1336" ref="G1337"/>
    <hyperlink r:id="rId1337" ref="G1338"/>
    <hyperlink r:id="rId1338" ref="G1339"/>
    <hyperlink r:id="rId1339" ref="G1340"/>
    <hyperlink r:id="rId1340" ref="G1341"/>
    <hyperlink r:id="rId1341" ref="G1342"/>
    <hyperlink r:id="rId1342" ref="G1343"/>
    <hyperlink r:id="rId1343" ref="G1344"/>
    <hyperlink r:id="rId1344" ref="G1345"/>
    <hyperlink r:id="rId1345" ref="G1346"/>
    <hyperlink r:id="rId1346" ref="G1347"/>
    <hyperlink r:id="rId1347" ref="G1348"/>
    <hyperlink r:id="rId1348" ref="G1349"/>
    <hyperlink r:id="rId1349" ref="G1350"/>
    <hyperlink r:id="rId1350" ref="G1351"/>
    <hyperlink r:id="rId1351" ref="G1352"/>
    <hyperlink r:id="rId1352" ref="G1353"/>
    <hyperlink r:id="rId1353" ref="G1354"/>
    <hyperlink r:id="rId1354" ref="G1355"/>
    <hyperlink r:id="rId1355" ref="G1356"/>
    <hyperlink r:id="rId1356" ref="G1357"/>
    <hyperlink r:id="rId1357" ref="G1358"/>
    <hyperlink r:id="rId1358" ref="G1359"/>
    <hyperlink r:id="rId1359" ref="G1360"/>
    <hyperlink r:id="rId1360" ref="G1361"/>
    <hyperlink r:id="rId1361" ref="G1362"/>
    <hyperlink r:id="rId1362" ref="G1363"/>
    <hyperlink r:id="rId1363" ref="G1364"/>
    <hyperlink r:id="rId1364" ref="G1365"/>
    <hyperlink r:id="rId1365" ref="G1366"/>
    <hyperlink r:id="rId1366" ref="G1367"/>
    <hyperlink r:id="rId1367" ref="G1368"/>
    <hyperlink r:id="rId1368" ref="G1369"/>
    <hyperlink r:id="rId1369" ref="G1370"/>
    <hyperlink r:id="rId1370" ref="G1371"/>
    <hyperlink r:id="rId1371" ref="G1372"/>
    <hyperlink r:id="rId1372" ref="G1373"/>
    <hyperlink r:id="rId1373" ref="G1374"/>
    <hyperlink r:id="rId1374" ref="G1375"/>
    <hyperlink r:id="rId1375" ref="G1376"/>
    <hyperlink r:id="rId1376" ref="G1377"/>
    <hyperlink r:id="rId1377" ref="G1378"/>
    <hyperlink r:id="rId1378" ref="G1379"/>
    <hyperlink r:id="rId1379" ref="G1380"/>
    <hyperlink r:id="rId1380" ref="G1381"/>
    <hyperlink r:id="rId1381" ref="G1382"/>
    <hyperlink r:id="rId1382" ref="G1383"/>
    <hyperlink r:id="rId1383" ref="G1384"/>
    <hyperlink r:id="rId1384" ref="G1385"/>
    <hyperlink r:id="rId1385" ref="G1386"/>
    <hyperlink r:id="rId1386" ref="G1387"/>
    <hyperlink r:id="rId1387" ref="G1388"/>
    <hyperlink r:id="rId1388" ref="G1389"/>
    <hyperlink r:id="rId1389" ref="G1390"/>
    <hyperlink r:id="rId1390" ref="G1391"/>
  </hyperlinks>
  <drawing r:id="rId1391"/>
</worksheet>
</file>